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hidePivotFieldList="1"/>
  <mc:AlternateContent xmlns:mc="http://schemas.openxmlformats.org/markup-compatibility/2006">
    <mc:Choice Requires="x15">
      <x15ac:absPath xmlns:x15ac="http://schemas.microsoft.com/office/spreadsheetml/2010/11/ac" url="C:\Users\jumik\Desktop\PROGRAMOWANIE\zadania rekrutacyjne\RHENUS\"/>
    </mc:Choice>
  </mc:AlternateContent>
  <xr:revisionPtr revIDLastSave="0" documentId="13_ncr:1_{25F1BEEC-CEB0-488E-A2F4-4139C5FDA7B7}" xr6:coauthVersionLast="47" xr6:coauthVersionMax="47" xr10:uidLastSave="{00000000-0000-0000-0000-000000000000}"/>
  <bookViews>
    <workbookView xWindow="-108" yWindow="-108" windowWidth="23256" windowHeight="12456" xr2:uid="{00000000-000D-0000-FFFF-FFFF00000000}"/>
  </bookViews>
  <sheets>
    <sheet name="The Task" sheetId="4" r:id="rId1"/>
    <sheet name="Pivot charts+ Conclusion" sheetId="3" r:id="rId2"/>
    <sheet name="Pivot tables+ Analysis" sheetId="2" r:id="rId3"/>
    <sheet name="Data+ Verification" sheetId="1" r:id="rId4"/>
  </sheets>
  <calcPr calcId="181029"/>
  <pivotCaches>
    <pivotCache cacheId="0" r:id="rId5"/>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29" i="1" l="1"/>
  <c r="J124" i="1"/>
  <c r="G124" i="1"/>
  <c r="F124" i="1"/>
  <c r="I123" i="1"/>
  <c r="C123" i="1"/>
  <c r="I122" i="1"/>
  <c r="C122" i="1"/>
  <c r="I121" i="1"/>
  <c r="H121" i="1"/>
  <c r="H131" i="1" s="1"/>
  <c r="C121" i="1"/>
  <c r="I120" i="1"/>
  <c r="C120" i="1"/>
  <c r="I119" i="1"/>
  <c r="C119" i="1"/>
  <c r="I118" i="1"/>
  <c r="C118" i="1"/>
  <c r="I117" i="1"/>
  <c r="C117" i="1"/>
  <c r="I116" i="1"/>
  <c r="C116" i="1"/>
  <c r="I115" i="1"/>
  <c r="C115" i="1"/>
  <c r="I114" i="1"/>
  <c r="C114" i="1"/>
  <c r="I113" i="1"/>
  <c r="C113" i="1"/>
  <c r="I112" i="1"/>
  <c r="C112" i="1"/>
  <c r="I111" i="1"/>
  <c r="C111" i="1"/>
  <c r="I110" i="1"/>
  <c r="C110" i="1"/>
  <c r="I109" i="1"/>
  <c r="C109" i="1"/>
  <c r="I108" i="1"/>
  <c r="C108" i="1"/>
  <c r="I107" i="1"/>
  <c r="C107" i="1"/>
  <c r="I106" i="1"/>
  <c r="C106" i="1"/>
  <c r="I105" i="1"/>
  <c r="C105" i="1"/>
  <c r="I104" i="1"/>
  <c r="C104" i="1"/>
  <c r="I103" i="1"/>
  <c r="C103" i="1"/>
  <c r="I102" i="1"/>
  <c r="C102" i="1"/>
  <c r="I101" i="1"/>
  <c r="C101" i="1"/>
  <c r="I100" i="1"/>
  <c r="C100" i="1"/>
  <c r="I99" i="1"/>
  <c r="C99" i="1"/>
  <c r="I98" i="1"/>
  <c r="H98" i="1"/>
  <c r="H128" i="1" s="1"/>
  <c r="C98" i="1"/>
  <c r="I97" i="1"/>
  <c r="H97" i="1"/>
  <c r="H130" i="1" s="1"/>
  <c r="C97" i="1"/>
  <c r="I96" i="1"/>
  <c r="C96" i="1"/>
  <c r="I95" i="1"/>
  <c r="C95" i="1"/>
  <c r="I94" i="1"/>
  <c r="C94" i="1"/>
  <c r="I93" i="1"/>
  <c r="C93" i="1"/>
  <c r="I92" i="1"/>
  <c r="C92" i="1"/>
  <c r="I91" i="1"/>
  <c r="C91" i="1"/>
  <c r="I90" i="1"/>
  <c r="C90" i="1"/>
  <c r="I89" i="1"/>
  <c r="C89" i="1"/>
  <c r="I88" i="1"/>
  <c r="C88" i="1"/>
  <c r="I87" i="1"/>
  <c r="C87" i="1"/>
  <c r="I86" i="1"/>
  <c r="C86" i="1"/>
  <c r="I85" i="1"/>
  <c r="C85" i="1"/>
  <c r="I84" i="1"/>
  <c r="C84" i="1"/>
  <c r="I83" i="1"/>
  <c r="C83" i="1"/>
  <c r="I82" i="1"/>
  <c r="C82" i="1"/>
  <c r="I81" i="1"/>
  <c r="C81" i="1"/>
  <c r="I80" i="1"/>
  <c r="H80" i="1"/>
  <c r="C80" i="1"/>
  <c r="I79" i="1"/>
  <c r="C79" i="1"/>
  <c r="I78" i="1"/>
  <c r="C78" i="1"/>
  <c r="I77" i="1"/>
  <c r="C77" i="1"/>
  <c r="I76" i="1"/>
  <c r="C76" i="1"/>
  <c r="I75" i="1"/>
  <c r="C75" i="1"/>
  <c r="I74" i="1"/>
  <c r="C74" i="1"/>
  <c r="I73" i="1"/>
  <c r="C73" i="1"/>
  <c r="I72" i="1"/>
  <c r="C72" i="1"/>
  <c r="I71" i="1"/>
  <c r="C71" i="1"/>
  <c r="I70" i="1"/>
  <c r="C70" i="1"/>
  <c r="I69" i="1"/>
  <c r="C69" i="1"/>
  <c r="I68" i="1"/>
  <c r="C68" i="1"/>
  <c r="I67" i="1"/>
  <c r="C67" i="1"/>
  <c r="I66" i="1"/>
  <c r="C66" i="1"/>
  <c r="I65" i="1"/>
  <c r="C65" i="1"/>
  <c r="I64" i="1"/>
  <c r="C64" i="1"/>
  <c r="I63" i="1"/>
  <c r="C63" i="1"/>
  <c r="I62" i="1"/>
  <c r="C62" i="1"/>
  <c r="I61" i="1"/>
  <c r="C61" i="1"/>
  <c r="I60" i="1"/>
  <c r="C60" i="1"/>
  <c r="I59" i="1"/>
  <c r="C59" i="1"/>
  <c r="I58" i="1"/>
  <c r="C58" i="1"/>
  <c r="I57" i="1"/>
  <c r="C57" i="1"/>
  <c r="I56" i="1"/>
  <c r="C56" i="1"/>
  <c r="I55" i="1"/>
  <c r="C55" i="1"/>
  <c r="I54" i="1"/>
  <c r="C54" i="1"/>
  <c r="I53" i="1"/>
  <c r="C53" i="1"/>
  <c r="I52" i="1"/>
  <c r="C52" i="1"/>
  <c r="I51" i="1"/>
  <c r="C51" i="1"/>
  <c r="I50" i="1"/>
  <c r="C50" i="1"/>
  <c r="I49" i="1"/>
  <c r="C49" i="1"/>
  <c r="I48" i="1"/>
  <c r="C48" i="1"/>
  <c r="I47" i="1"/>
  <c r="C47" i="1"/>
  <c r="I46" i="1"/>
  <c r="C46" i="1"/>
  <c r="I45" i="1"/>
  <c r="C45" i="1"/>
  <c r="I44" i="1"/>
  <c r="C44" i="1"/>
  <c r="I43" i="1"/>
  <c r="C43" i="1"/>
  <c r="I42" i="1"/>
  <c r="C42" i="1"/>
  <c r="I41" i="1"/>
  <c r="H41" i="1"/>
  <c r="C41" i="1"/>
  <c r="I40" i="1"/>
  <c r="C40" i="1"/>
  <c r="I39" i="1"/>
  <c r="C39" i="1"/>
  <c r="I38" i="1"/>
  <c r="C38" i="1"/>
  <c r="I37" i="1"/>
  <c r="C37" i="1"/>
  <c r="I36" i="1"/>
  <c r="C36" i="1"/>
  <c r="I35" i="1"/>
  <c r="C35" i="1"/>
  <c r="I34" i="1"/>
  <c r="C34" i="1"/>
  <c r="I33" i="1"/>
  <c r="C33" i="1"/>
  <c r="I32" i="1"/>
  <c r="C32" i="1"/>
  <c r="I31" i="1"/>
  <c r="C31" i="1"/>
  <c r="I30" i="1"/>
  <c r="C30" i="1"/>
  <c r="I29" i="1"/>
  <c r="C29" i="1"/>
  <c r="I28" i="1"/>
  <c r="C28" i="1"/>
  <c r="I27" i="1"/>
  <c r="C27" i="1"/>
  <c r="I26" i="1"/>
  <c r="C26" i="1"/>
  <c r="I25" i="1"/>
  <c r="C25" i="1"/>
  <c r="I24" i="1"/>
  <c r="C24" i="1"/>
  <c r="I23" i="1"/>
  <c r="C23" i="1"/>
  <c r="I22" i="1"/>
  <c r="C22" i="1"/>
  <c r="I21" i="1"/>
  <c r="C21" i="1"/>
  <c r="I20" i="1"/>
  <c r="C20" i="1"/>
  <c r="I19" i="1"/>
  <c r="C19" i="1"/>
  <c r="I18" i="1"/>
  <c r="C18" i="1"/>
  <c r="I17" i="1"/>
  <c r="C17" i="1"/>
  <c r="I16" i="1"/>
  <c r="C16" i="1"/>
  <c r="I15" i="1"/>
  <c r="C15" i="1"/>
  <c r="I14" i="1"/>
  <c r="C14" i="1"/>
  <c r="I13" i="1"/>
  <c r="C13" i="1"/>
  <c r="I12" i="1"/>
  <c r="C12" i="1"/>
  <c r="I11" i="1"/>
  <c r="C11" i="1"/>
  <c r="I10" i="1"/>
  <c r="C10" i="1"/>
  <c r="I9" i="1"/>
  <c r="C9" i="1"/>
  <c r="I8" i="1"/>
  <c r="C8" i="1"/>
  <c r="I7" i="1"/>
  <c r="C7" i="1"/>
  <c r="I6" i="1"/>
  <c r="C6" i="1"/>
  <c r="I5" i="1"/>
  <c r="C5" i="1"/>
  <c r="I4" i="1"/>
  <c r="C4" i="1"/>
  <c r="I3" i="1"/>
  <c r="C3" i="1"/>
  <c r="I2" i="1"/>
  <c r="I124" i="1" s="1"/>
  <c r="C2" i="1"/>
  <c r="P103" i="2"/>
  <c r="P85" i="2"/>
  <c r="F70" i="2"/>
  <c r="F66" i="2"/>
  <c r="J56" i="2"/>
  <c r="F45" i="2"/>
  <c r="J34" i="2"/>
  <c r="F22" i="2"/>
  <c r="J9" i="2"/>
  <c r="K6" i="2"/>
  <c r="O86" i="2"/>
  <c r="P102" i="2"/>
  <c r="O85" i="2"/>
  <c r="J69" i="2"/>
  <c r="J65" i="2"/>
  <c r="F56" i="2"/>
  <c r="J44" i="2"/>
  <c r="F34" i="2"/>
  <c r="F21" i="2"/>
  <c r="F9" i="2"/>
  <c r="J6" i="2"/>
  <c r="F42" i="2"/>
  <c r="F57" i="2"/>
  <c r="K9" i="2"/>
  <c r="P101" i="2"/>
  <c r="P84" i="2"/>
  <c r="F69" i="2"/>
  <c r="F65" i="2"/>
  <c r="J55" i="2"/>
  <c r="F44" i="2"/>
  <c r="J33" i="2"/>
  <c r="F20" i="2"/>
  <c r="K8" i="2"/>
  <c r="F6" i="2"/>
  <c r="J45" i="2"/>
  <c r="P100" i="2"/>
  <c r="O84" i="2"/>
  <c r="J68" i="2"/>
  <c r="F59" i="2"/>
  <c r="F55" i="2"/>
  <c r="J43" i="2"/>
  <c r="F33" i="2"/>
  <c r="F19" i="2"/>
  <c r="J8" i="2"/>
  <c r="J31" i="2"/>
  <c r="O79" i="2"/>
  <c r="P99" i="2"/>
  <c r="P83" i="2"/>
  <c r="F68" i="2"/>
  <c r="J58" i="2"/>
  <c r="J54" i="2"/>
  <c r="F43" i="2"/>
  <c r="J32" i="2"/>
  <c r="F18" i="2"/>
  <c r="F8" i="2"/>
  <c r="F10" i="2"/>
  <c r="J66" i="2"/>
  <c r="F7" i="2"/>
  <c r="P98" i="2"/>
  <c r="O83" i="2"/>
  <c r="J67" i="2"/>
  <c r="F58" i="2"/>
  <c r="F54" i="2"/>
  <c r="J42" i="2"/>
  <c r="F32" i="2"/>
  <c r="F17" i="2"/>
  <c r="K7" i="2"/>
  <c r="J7" i="2"/>
  <c r="F31" i="2"/>
  <c r="P86" i="2"/>
  <c r="P82" i="2"/>
  <c r="F67" i="2"/>
  <c r="J57" i="2"/>
  <c r="F46" i="2"/>
  <c r="F35" i="2"/>
  <c r="I125" i="1" l="1"/>
  <c r="H124" i="1"/>
  <c r="H125" i="1" s="1"/>
  <c r="I12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Marta Marta</author>
  </authors>
  <commentList>
    <comment ref="C1" authorId="0" shapeId="0" xr:uid="{8794BC7B-10C6-4CEB-BB9B-A9D2778C73DE}">
      <text>
        <r>
          <rPr>
            <b/>
            <sz val="9"/>
            <color indexed="81"/>
            <rFont val="Tahoma"/>
            <charset val="1"/>
          </rPr>
          <t>Marta Marta:</t>
        </r>
        <r>
          <rPr>
            <sz val="9"/>
            <color indexed="81"/>
            <rFont val="Tahoma"/>
            <charset val="1"/>
          </rPr>
          <t xml:space="preserve">
months in the numeric form</t>
        </r>
      </text>
    </comment>
    <comment ref="D1" authorId="0" shapeId="0" xr:uid="{EF922E17-5C1F-4D2C-9804-45978F8BFA47}">
      <text>
        <r>
          <rPr>
            <b/>
            <sz val="9"/>
            <color indexed="81"/>
            <rFont val="Tahoma"/>
            <charset val="1"/>
          </rPr>
          <t>Marta Marta:</t>
        </r>
        <r>
          <rPr>
            <sz val="9"/>
            <color indexed="81"/>
            <rFont val="Tahoma"/>
            <charset val="1"/>
          </rPr>
          <t xml:space="preserve">
corrected typos RAILL=RAIL</t>
        </r>
      </text>
    </comment>
    <comment ref="E1" authorId="0" shapeId="0" xr:uid="{7D9BA6BF-8B4C-4B09-B791-8386A8B11541}">
      <text>
        <r>
          <rPr>
            <b/>
            <sz val="9"/>
            <color indexed="81"/>
            <rFont val="Tahoma"/>
            <charset val="1"/>
          </rPr>
          <t>Marta Marta:</t>
        </r>
        <r>
          <rPr>
            <sz val="9"/>
            <color indexed="81"/>
            <rFont val="Tahoma"/>
            <charset val="1"/>
          </rPr>
          <t xml:space="preserve">
corrected typo RAILL=RAIL</t>
        </r>
      </text>
    </comment>
    <comment ref="F1" authorId="0" shapeId="0" xr:uid="{B6BAB78F-6D30-452B-B24E-B2FBD2137AD9}">
      <text>
        <r>
          <rPr>
            <b/>
            <sz val="9"/>
            <color indexed="81"/>
            <rFont val="Tahoma"/>
            <family val="2"/>
            <charset val="238"/>
          </rPr>
          <t>Marta Marta:</t>
        </r>
        <r>
          <rPr>
            <sz val="9"/>
            <color indexed="81"/>
            <rFont val="Tahoma"/>
            <family val="2"/>
            <charset val="238"/>
          </rPr>
          <t xml:space="preserve">
some records altered (marked in yellow with comment relating to the type of changes made)</t>
        </r>
      </text>
    </comment>
    <comment ref="H1" authorId="0" shapeId="0" xr:uid="{5847AC98-1A20-4CEA-9B65-E75B14A5C7FF}">
      <text>
        <r>
          <rPr>
            <b/>
            <sz val="9"/>
            <color indexed="81"/>
            <rFont val="Tahoma"/>
            <charset val="1"/>
          </rPr>
          <t>Marta Marta:</t>
        </r>
        <r>
          <rPr>
            <sz val="9"/>
            <color indexed="81"/>
            <rFont val="Tahoma"/>
            <charset val="1"/>
          </rPr>
          <t xml:space="preserve">
some records altered (marked in yellow with comment relating to the type of changes made)</t>
        </r>
      </text>
    </comment>
    <comment ref="I1" authorId="0" shapeId="0" xr:uid="{4D23D63E-EE9D-4FBF-9623-4CAE930006CD}">
      <text>
        <r>
          <rPr>
            <b/>
            <sz val="9"/>
            <color indexed="81"/>
            <rFont val="Tahoma"/>
            <family val="2"/>
            <charset val="238"/>
          </rPr>
          <t>Marta Marta:</t>
        </r>
        <r>
          <rPr>
            <sz val="9"/>
            <color indexed="81"/>
            <rFont val="Tahoma"/>
            <family val="2"/>
            <charset val="238"/>
          </rPr>
          <t xml:space="preserve">
My own computation of margin.
I assume that "Cost" column is th total cost in the company and therefore margin computed as Revenue-Cost is a company net margin.
My assumption comes from the fact that:
1) There is no information whatsoever about what types of data columns include, therefore I must make some sort of assumption about it; 
2) I don't have any information about how the column "Margin" was computed. It does not equal to Revenue-Margin and I can see no pattern of how it was computed, therefore I prefer my own computation ("Margin2"), which I fully understand and trust
2) As the task requires conclusions based on data and recommendations for the future, I assume the computed margin is a net margin. It would be difficult if not impossible to finish the task taking into account only gross margin, as it gives no information about the company structure costs and final result, we could only analyze the sales cost, which is only one part of the result and does not give sufficient information about company's global situation and efficiency.
</t>
        </r>
      </text>
    </comment>
    <comment ref="F20" authorId="0" shapeId="0" xr:uid="{52A4D474-A952-472A-85C0-FEC801AA7836}">
      <text>
        <r>
          <rPr>
            <b/>
            <sz val="9"/>
            <color indexed="81"/>
            <rFont val="Tahoma"/>
            <family val="2"/>
            <charset val="238"/>
          </rPr>
          <t>Marta Marta:</t>
        </r>
        <r>
          <rPr>
            <sz val="9"/>
            <color indexed="81"/>
            <rFont val="Tahoma"/>
            <family val="2"/>
            <charset val="238"/>
          </rPr>
          <t xml:space="preserve">
There was a typo in this cell ("b") instead of an amount.
As the real value is not available I filtered the data for similar period, department and product (2024+2025/April/Department Ocean/Product LCL)
I took an average from these records and input it as a missing value for data consistency.</t>
        </r>
      </text>
    </comment>
    <comment ref="H41" authorId="0" shapeId="0" xr:uid="{22A6A708-C190-4FCF-8B9D-96396D920171}">
      <text>
        <r>
          <rPr>
            <b/>
            <sz val="9"/>
            <color indexed="81"/>
            <rFont val="Tahoma"/>
            <family val="2"/>
            <charset val="238"/>
          </rPr>
          <t>Marta Marta:</t>
        </r>
        <r>
          <rPr>
            <sz val="9"/>
            <color indexed="81"/>
            <rFont val="Tahoma"/>
            <family val="2"/>
            <charset val="238"/>
          </rPr>
          <t xml:space="preserve">
blank value ("0") filled in based on average department/product margin (computation below the table)</t>
        </r>
      </text>
    </comment>
    <comment ref="H80" authorId="0" shapeId="0" xr:uid="{9DD3F8DF-648F-4647-A706-63505A35F196}">
      <text>
        <r>
          <rPr>
            <b/>
            <sz val="9"/>
            <color indexed="81"/>
            <rFont val="Tahoma"/>
            <family val="2"/>
            <charset val="238"/>
          </rPr>
          <t>Marta Marta:</t>
        </r>
        <r>
          <rPr>
            <sz val="9"/>
            <color indexed="81"/>
            <rFont val="Tahoma"/>
            <family val="2"/>
            <charset val="238"/>
          </rPr>
          <t xml:space="preserve">
blank value ("0") filled in based on average department/product margin (computation below the table)</t>
        </r>
      </text>
    </comment>
    <comment ref="H97" authorId="0" shapeId="0" xr:uid="{7EDABB60-AA03-4346-99E2-57824BC14FE6}">
      <text>
        <r>
          <rPr>
            <b/>
            <sz val="9"/>
            <color indexed="81"/>
            <rFont val="Tahoma"/>
            <family val="2"/>
            <charset val="238"/>
          </rPr>
          <t>Marta Marta:</t>
        </r>
        <r>
          <rPr>
            <sz val="9"/>
            <color indexed="81"/>
            <rFont val="Tahoma"/>
            <family val="2"/>
            <charset val="238"/>
          </rPr>
          <t xml:space="preserve">
blank value ("0") filled in based on average department/product margin (computation below the table)</t>
        </r>
      </text>
    </comment>
    <comment ref="H98" authorId="0" shapeId="0" xr:uid="{3DDC71DD-3E97-446E-957F-0BF024B1C139}">
      <text>
        <r>
          <rPr>
            <b/>
            <sz val="9"/>
            <color indexed="81"/>
            <rFont val="Tahoma"/>
            <family val="2"/>
            <charset val="238"/>
          </rPr>
          <t>Marta Marta:</t>
        </r>
        <r>
          <rPr>
            <sz val="9"/>
            <color indexed="81"/>
            <rFont val="Tahoma"/>
            <family val="2"/>
            <charset val="238"/>
          </rPr>
          <t xml:space="preserve">
blank value ("0") filled in based on average department/product margin (computation below the table)</t>
        </r>
      </text>
    </comment>
    <comment ref="H121" authorId="0" shapeId="0" xr:uid="{7F444A42-660D-41F7-94D1-77719FD580AF}">
      <text>
        <r>
          <rPr>
            <b/>
            <sz val="9"/>
            <color indexed="81"/>
            <rFont val="Tahoma"/>
            <family val="2"/>
            <charset val="238"/>
          </rPr>
          <t>Marta Marta:</t>
        </r>
        <r>
          <rPr>
            <sz val="9"/>
            <color indexed="81"/>
            <rFont val="Tahoma"/>
            <family val="2"/>
            <charset val="238"/>
          </rPr>
          <t xml:space="preserve">
blank value ("0") filled in based on average department/product margin (computation below the table)</t>
        </r>
      </text>
    </comment>
  </commentList>
</comments>
</file>

<file path=xl/sharedStrings.xml><?xml version="1.0" encoding="utf-8"?>
<sst xmlns="http://schemas.openxmlformats.org/spreadsheetml/2006/main" count="524" uniqueCount="67">
  <si>
    <t>Year</t>
  </si>
  <si>
    <t>Month</t>
  </si>
  <si>
    <t>Month_no</t>
  </si>
  <si>
    <t>Department</t>
  </si>
  <si>
    <t>Product</t>
  </si>
  <si>
    <t>Revenue</t>
  </si>
  <si>
    <t>Cost</t>
  </si>
  <si>
    <t>Margin</t>
  </si>
  <si>
    <t>Margin2</t>
  </si>
  <si>
    <t>Shipments</t>
  </si>
  <si>
    <t>January</t>
  </si>
  <si>
    <t>ROAD</t>
  </si>
  <si>
    <t>International</t>
  </si>
  <si>
    <t>Air</t>
  </si>
  <si>
    <t>Airfreight</t>
  </si>
  <si>
    <t>altered columns/records</t>
  </si>
  <si>
    <t>RAIL</t>
  </si>
  <si>
    <t>new inputs/creations</t>
  </si>
  <si>
    <t>Ocean</t>
  </si>
  <si>
    <t>LCL</t>
  </si>
  <si>
    <t>FCL</t>
  </si>
  <si>
    <t>February</t>
  </si>
  <si>
    <t>March</t>
  </si>
  <si>
    <t>April</t>
  </si>
  <si>
    <t>May</t>
  </si>
  <si>
    <t>June</t>
  </si>
  <si>
    <t>July</t>
  </si>
  <si>
    <t>August</t>
  </si>
  <si>
    <t>September</t>
  </si>
  <si>
    <t>October</t>
  </si>
  <si>
    <t>November</t>
  </si>
  <si>
    <t>December</t>
  </si>
  <si>
    <t>Computations to fill in for missing data in "Margin":</t>
  </si>
  <si>
    <t>net margin</t>
  </si>
  <si>
    <t>average revenue margin Ocean/FCL</t>
  </si>
  <si>
    <t>average revenue margin ROAD/International</t>
  </si>
  <si>
    <t>average revenue margin Ocean/LCL</t>
  </si>
  <si>
    <t>average revenue margin RAIL/RAIL</t>
  </si>
  <si>
    <t>increase year-to-year</t>
  </si>
  <si>
    <t>decrease year-to-year</t>
  </si>
  <si>
    <t>unexpected increase- to be checked whether it's a doubled entry by mistake</t>
  </si>
  <si>
    <t>NET MARGIN/DEPARTMENT</t>
  </si>
  <si>
    <t>Suma z Margin2</t>
  </si>
  <si>
    <t>YEAR</t>
  </si>
  <si>
    <t>Suma końcowa</t>
  </si>
  <si>
    <t>Y-to-Y (%)</t>
  </si>
  <si>
    <t>2025(%)</t>
  </si>
  <si>
    <t>2024(%)</t>
  </si>
  <si>
    <t>Etykiety wierszy</t>
  </si>
  <si>
    <t>NET MARGIN/PRODUCT</t>
  </si>
  <si>
    <t>REVENUE BY DEPARTMENT</t>
  </si>
  <si>
    <t>Suma z Revenue</t>
  </si>
  <si>
    <t>COST BY DEPARTMENT</t>
  </si>
  <si>
    <t>Suma z Cost</t>
  </si>
  <si>
    <t>REVENUE BY PRODUCT</t>
  </si>
  <si>
    <t>COST BY PRODUCT</t>
  </si>
  <si>
    <t>SHIPMENTS VOLUME BY MONTH/YEAR/DEPARTMENT</t>
  </si>
  <si>
    <t>Suma z Shipments</t>
  </si>
  <si>
    <t>SHIPMENTS VOLUME BY MONTH/YEAR/PRODUCTS</t>
  </si>
  <si>
    <t>COST-REVENUE ANALYSIS PER YEAR/MONTH</t>
  </si>
  <si>
    <t>NET MARGIN PER YEAR/MONTH</t>
  </si>
  <si>
    <t>Etykiety kolumn</t>
  </si>
  <si>
    <t>PIVOT CHARTS</t>
  </si>
  <si>
    <t>CONCLUSION &amp; RECOMMENDATIONS</t>
  </si>
  <si>
    <t xml:space="preserve">
</t>
  </si>
  <si>
    <t>NET MARGIN PER DEPARTMENT</t>
  </si>
  <si>
    <t>please read comments to the headers or single cells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</si>
</sst>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sz val="11"/>
      <color theme="1"/>
      <name val="Calibri"/>
      <family val="2"/>
      <scheme val="minor"/>
    </font>
    <font>
      <sz val="11"/>
      <color theme="7" tint="-0.249977111117893"/>
      <name val="Calibri"/>
      <family val="2"/>
      <charset val="238"/>
      <scheme val="minor"/>
    </font>
    <font>
      <b/>
      <sz val="9"/>
      <color indexed="81"/>
      <name val="Tahoma"/>
      <charset val="1"/>
    </font>
    <font>
      <sz val="9"/>
      <color indexed="81"/>
      <name val="Tahoma"/>
      <charset val="1"/>
    </font>
    <font>
      <b/>
      <sz val="9"/>
      <color indexed="81"/>
      <name val="Tahoma"/>
      <family val="2"/>
      <charset val="238"/>
    </font>
    <font>
      <sz val="9"/>
      <color indexed="81"/>
      <name val="Tahoma"/>
      <family val="2"/>
      <charset val="238"/>
    </font>
    <font>
      <b/>
      <sz val="11"/>
      <color rgb="FF0070C0"/>
      <name val="Calibri"/>
      <family val="2"/>
      <scheme val="minor"/>
    </font>
    <font>
      <sz val="11"/>
      <color rgb="FF0070C0"/>
      <name val="Calibri"/>
      <family val="2"/>
      <charset val="238"/>
      <scheme val="minor"/>
    </font>
    <font>
      <b/>
      <sz val="11"/>
      <color theme="1"/>
      <name val="Calibri"/>
      <family val="2"/>
      <scheme val="minor"/>
    </font>
    <font>
      <b/>
      <sz val="16"/>
      <color rgb="FF0070C0"/>
      <name val="Calibri"/>
      <family val="2"/>
      <scheme val="minor"/>
    </font>
  </fonts>
  <fills count="8">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7" tint="0.79998168889431442"/>
        <bgColor theme="7" tint="0.79998168889431442"/>
      </patternFill>
    </fill>
    <fill>
      <patternFill patternType="solid">
        <fgColor theme="9" tint="0.79998168889431442"/>
        <bgColor indexed="64"/>
      </patternFill>
    </fill>
    <fill>
      <patternFill patternType="solid">
        <fgColor rgb="FFFFC0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42">
    <xf numFmtId="0" fontId="0" fillId="0" borderId="0" xfId="0"/>
    <xf numFmtId="14" fontId="0" fillId="0" borderId="0" xfId="0" applyNumberFormat="1"/>
    <xf numFmtId="14" fontId="0" fillId="2" borderId="0" xfId="0" applyNumberFormat="1" applyFill="1"/>
    <xf numFmtId="0" fontId="0" fillId="3" borderId="0" xfId="0" applyFill="1"/>
    <xf numFmtId="4" fontId="0" fillId="3" borderId="0" xfId="0" applyNumberFormat="1" applyFill="1"/>
    <xf numFmtId="4" fontId="0" fillId="0" borderId="0" xfId="0" applyNumberFormat="1"/>
    <xf numFmtId="4" fontId="0" fillId="2" borderId="0" xfId="0" applyNumberFormat="1" applyFill="1"/>
    <xf numFmtId="1" fontId="0" fillId="0" borderId="0" xfId="0" applyNumberFormat="1"/>
    <xf numFmtId="3" fontId="0" fillId="0" borderId="0" xfId="0" applyNumberFormat="1"/>
    <xf numFmtId="3" fontId="0" fillId="2" borderId="0" xfId="0" applyNumberFormat="1" applyFill="1"/>
    <xf numFmtId="3" fontId="0" fillId="2" borderId="0" xfId="0" applyNumberFormat="1" applyFill="1" applyAlignment="1">
      <alignment vertical="center" wrapText="1"/>
    </xf>
    <xf numFmtId="0" fontId="0" fillId="2" borderId="0" xfId="0" applyFill="1"/>
    <xf numFmtId="3" fontId="0" fillId="3" borderId="0" xfId="0" applyNumberFormat="1" applyFill="1"/>
    <xf numFmtId="4" fontId="0" fillId="0" borderId="0" xfId="0" applyNumberFormat="1" applyAlignment="1">
      <alignment horizontal="center"/>
    </xf>
    <xf numFmtId="9" fontId="0" fillId="2" borderId="0" xfId="1" applyFont="1" applyFill="1"/>
    <xf numFmtId="14" fontId="2" fillId="0" borderId="1" xfId="0" applyNumberFormat="1" applyFont="1" applyBorder="1"/>
    <xf numFmtId="1" fontId="0" fillId="0" borderId="1" xfId="0" applyNumberFormat="1" applyBorder="1"/>
    <xf numFmtId="14" fontId="2" fillId="4" borderId="1" xfId="0" applyNumberFormat="1" applyFont="1" applyFill="1" applyBorder="1"/>
    <xf numFmtId="0" fontId="0" fillId="0" borderId="0" xfId="0" applyAlignment="1">
      <alignment horizontal="left"/>
    </xf>
    <xf numFmtId="1" fontId="0" fillId="5" borderId="0" xfId="0" applyNumberFormat="1" applyFill="1"/>
    <xf numFmtId="1" fontId="0" fillId="6" borderId="0" xfId="0" applyNumberFormat="1" applyFill="1"/>
    <xf numFmtId="0" fontId="0" fillId="7" borderId="0" xfId="0" applyFill="1"/>
    <xf numFmtId="0" fontId="7" fillId="0" borderId="0" xfId="0" applyFont="1"/>
    <xf numFmtId="9" fontId="0" fillId="0" borderId="0" xfId="0" applyNumberFormat="1"/>
    <xf numFmtId="9" fontId="0" fillId="5" borderId="0" xfId="1" applyFont="1" applyFill="1"/>
    <xf numFmtId="9" fontId="0" fillId="0" borderId="0" xfId="1" applyFont="1"/>
    <xf numFmtId="9" fontId="8" fillId="0" borderId="0" xfId="1" applyFont="1"/>
    <xf numFmtId="9" fontId="9" fillId="0" borderId="0" xfId="1" applyFont="1"/>
    <xf numFmtId="3" fontId="0" fillId="6" borderId="0" xfId="0" applyNumberFormat="1" applyFill="1"/>
    <xf numFmtId="9" fontId="0" fillId="6" borderId="0" xfId="1" applyFont="1" applyFill="1"/>
    <xf numFmtId="0" fontId="7" fillId="0" borderId="0" xfId="0" applyFont="1" applyAlignment="1">
      <alignment horizontal="left"/>
    </xf>
    <xf numFmtId="9" fontId="1" fillId="0" borderId="0" xfId="1" applyFont="1"/>
    <xf numFmtId="4" fontId="0" fillId="6" borderId="0" xfId="0" applyNumberFormat="1" applyFill="1"/>
    <xf numFmtId="0" fontId="0" fillId="0" borderId="0" xfId="0" applyAlignment="1">
      <alignment horizontal="left" indent="1"/>
    </xf>
    <xf numFmtId="9" fontId="0" fillId="0" borderId="0" xfId="1" applyFont="1" applyAlignment="1">
      <alignment horizontal="left"/>
    </xf>
    <xf numFmtId="1" fontId="0" fillId="7" borderId="0" xfId="0" applyNumberFormat="1" applyFill="1"/>
    <xf numFmtId="0" fontId="0" fillId="0" borderId="0" xfId="0" pivotButton="1"/>
    <xf numFmtId="0" fontId="10" fillId="0" borderId="0" xfId="0" applyFont="1"/>
    <xf numFmtId="0" fontId="9" fillId="0" borderId="0" xfId="0" applyFont="1"/>
    <xf numFmtId="0" fontId="0" fillId="0" borderId="0" xfId="0" applyAlignment="1">
      <alignment vertical="top" wrapText="1"/>
    </xf>
    <xf numFmtId="0" fontId="9" fillId="0" borderId="0" xfId="0" applyFont="1" applyAlignment="1">
      <alignment vertical="top" wrapText="1"/>
    </xf>
    <xf numFmtId="0" fontId="1" fillId="0" borderId="0" xfId="0" applyFont="1" applyAlignment="1">
      <alignment vertical="top" wrapText="1"/>
    </xf>
  </cellXfs>
  <cellStyles count="2">
    <cellStyle name="Normalny" xfId="0" builtinId="0"/>
    <cellStyle name="Procentowy" xfId="1" builtinId="5"/>
  </cellStyles>
  <dxfs count="32">
    <dxf>
      <numFmt numFmtId="1" formatCode="0"/>
    </dxf>
    <dxf>
      <numFmt numFmtId="1" formatCode="0"/>
    </dxf>
    <dxf>
      <numFmt numFmtId="3" formatCode="#,##0"/>
    </dxf>
    <dxf>
      <numFmt numFmtId="3" formatCode="#,##0"/>
      <fill>
        <patternFill patternType="solid">
          <fgColor indexed="64"/>
          <bgColor rgb="FF92D050"/>
        </patternFill>
      </fill>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19" formatCode="d/mm/yyyy"/>
    </dxf>
    <dxf>
      <numFmt numFmtId="0" formatCode="General"/>
    </dxf>
    <dxf>
      <numFmt numFmtId="2" formatCode="0.00"/>
    </dxf>
    <dxf>
      <fill>
        <patternFill patternType="solid">
          <bgColor rgb="FFFFC000"/>
        </patternFill>
      </fill>
    </dxf>
    <dxf>
      <fill>
        <patternFill patternType="solid">
          <bgColor rgb="FFFFC000"/>
        </patternFill>
      </fill>
    </dxf>
    <dxf>
      <fill>
        <patternFill patternType="solid">
          <bgColor rgb="FFFFC000"/>
        </patternFill>
      </fill>
    </dxf>
    <dxf>
      <numFmt numFmtId="1" formatCode="0"/>
    </dxf>
    <dxf>
      <fill>
        <patternFill patternType="solid">
          <bgColor rgb="FFFFC000"/>
        </patternFill>
      </fill>
    </dxf>
    <dxf>
      <fill>
        <patternFill patternType="solid">
          <bgColor rgb="FFFFC000"/>
        </patternFill>
      </fill>
    </dxf>
    <dxf>
      <fill>
        <patternFill patternType="solid">
          <bgColor rgb="FFFFC000"/>
        </patternFill>
      </fill>
    </dxf>
    <dxf>
      <numFmt numFmtId="3" formatCode="#,##0"/>
    </dxf>
    <dxf>
      <fill>
        <patternFill>
          <bgColor rgb="FF00B050"/>
        </patternFill>
      </fill>
    </dxf>
    <dxf>
      <fill>
        <patternFill patternType="none">
          <bgColor auto="1"/>
        </patternFill>
      </fill>
    </dxf>
    <dxf>
      <fill>
        <patternFill patternType="solid">
          <bgColor theme="6" tint="0.79998168889431442"/>
        </patternFill>
      </fill>
    </dxf>
    <dxf>
      <numFmt numFmtId="1" formatCode="0"/>
    </dxf>
    <dxf>
      <fill>
        <patternFill patternType="solid">
          <bgColor rgb="FFFFC000"/>
        </patternFill>
      </fill>
    </dxf>
    <dxf>
      <numFmt numFmtId="3" formatCode="#,##0"/>
    </dxf>
    <dxf>
      <fill>
        <patternFill patternType="solid">
          <bgColor rgb="FFFFC000"/>
        </patternFill>
      </fill>
    </dxf>
    <dxf>
      <fill>
        <patternFill patternType="none">
          <bgColor auto="1"/>
        </patternFill>
      </fill>
    </dxf>
    <dxf>
      <numFmt numFmtId="4" formatCode="#,##0.00"/>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Sales Overview 2024-2025.xlsx]Pivot tables+ Analysis!Tabela przestawna9</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 Analysis'!$B$108</c:f>
              <c:strCache>
                <c:ptCount val="1"/>
                <c:pt idx="0">
                  <c:v>Suma z Revenue</c:v>
                </c:pt>
              </c:strCache>
            </c:strRef>
          </c:tx>
          <c:spPr>
            <a:solidFill>
              <a:schemeClr val="accent1"/>
            </a:solidFill>
            <a:ln>
              <a:noFill/>
            </a:ln>
            <a:effectLst/>
          </c:spPr>
          <c:cat>
            <c:multiLvlStrRef>
              <c:f>'Pivot tables+ Analysis'!$A$109:$A$135</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2024</c:v>
                  </c:pt>
                  <c:pt idx="12">
                    <c:v>2025</c:v>
                  </c:pt>
                </c:lvl>
              </c:multiLvlStrCache>
            </c:multiLvlStrRef>
          </c:cat>
          <c:val>
            <c:numRef>
              <c:f>'Pivot tables+ Analysis'!$B$109:$B$135</c:f>
              <c:numCache>
                <c:formatCode>#,##0.00</c:formatCode>
                <c:ptCount val="24"/>
                <c:pt idx="0">
                  <c:v>120155256.66666667</c:v>
                </c:pt>
                <c:pt idx="1">
                  <c:v>125227410</c:v>
                </c:pt>
                <c:pt idx="2">
                  <c:v>123557291.66666667</c:v>
                </c:pt>
                <c:pt idx="3">
                  <c:v>128501660</c:v>
                </c:pt>
                <c:pt idx="4">
                  <c:v>103554908.33333333</c:v>
                </c:pt>
                <c:pt idx="5">
                  <c:v>115808723.33333333</c:v>
                </c:pt>
                <c:pt idx="6">
                  <c:v>118243918.33333333</c:v>
                </c:pt>
                <c:pt idx="7">
                  <c:v>115805946.66666667</c:v>
                </c:pt>
                <c:pt idx="8">
                  <c:v>120818576.66666667</c:v>
                </c:pt>
                <c:pt idx="9">
                  <c:v>120347325</c:v>
                </c:pt>
                <c:pt idx="10">
                  <c:v>117104808.33333333</c:v>
                </c:pt>
                <c:pt idx="11">
                  <c:v>117443900</c:v>
                </c:pt>
                <c:pt idx="12">
                  <c:v>131295601.96666667</c:v>
                </c:pt>
                <c:pt idx="13">
                  <c:v>136976903.70000002</c:v>
                </c:pt>
                <c:pt idx="14">
                  <c:v>135216027.56666669</c:v>
                </c:pt>
                <c:pt idx="15">
                  <c:v>124345520.25</c:v>
                </c:pt>
                <c:pt idx="16">
                  <c:v>113131133.03333335</c:v>
                </c:pt>
                <c:pt idx="17">
                  <c:v>126519329.53333335</c:v>
                </c:pt>
                <c:pt idx="18">
                  <c:v>129102042.53333333</c:v>
                </c:pt>
                <c:pt idx="19">
                  <c:v>126465169.01666667</c:v>
                </c:pt>
                <c:pt idx="20">
                  <c:v>132089884.61666667</c:v>
                </c:pt>
                <c:pt idx="21">
                  <c:v>131596428.95000002</c:v>
                </c:pt>
                <c:pt idx="22">
                  <c:v>128041329.73333335</c:v>
                </c:pt>
                <c:pt idx="23">
                  <c:v>116538417.8</c:v>
                </c:pt>
              </c:numCache>
            </c:numRef>
          </c:val>
          <c:extLst>
            <c:ext xmlns:c16="http://schemas.microsoft.com/office/drawing/2014/chart" uri="{C3380CC4-5D6E-409C-BE32-E72D297353CC}">
              <c16:uniqueId val="{00000000-7217-453A-B929-DCF5A101957A}"/>
            </c:ext>
          </c:extLst>
        </c:ser>
        <c:ser>
          <c:idx val="1"/>
          <c:order val="1"/>
          <c:tx>
            <c:strRef>
              <c:f>'Pivot tables+ Analysis'!$C$108</c:f>
              <c:strCache>
                <c:ptCount val="1"/>
                <c:pt idx="0">
                  <c:v>Suma z Cost</c:v>
                </c:pt>
              </c:strCache>
            </c:strRef>
          </c:tx>
          <c:spPr>
            <a:solidFill>
              <a:schemeClr val="accent2"/>
            </a:solidFill>
            <a:ln>
              <a:noFill/>
            </a:ln>
            <a:effectLst/>
          </c:spPr>
          <c:cat>
            <c:multiLvlStrRef>
              <c:f>'Pivot tables+ Analysis'!$A$109:$A$135</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2024</c:v>
                  </c:pt>
                  <c:pt idx="12">
                    <c:v>2025</c:v>
                  </c:pt>
                </c:lvl>
              </c:multiLvlStrCache>
            </c:multiLvlStrRef>
          </c:cat>
          <c:val>
            <c:numRef>
              <c:f>'Pivot tables+ Analysis'!$C$109:$C$135</c:f>
              <c:numCache>
                <c:formatCode>#,##0.00</c:formatCode>
                <c:ptCount val="24"/>
                <c:pt idx="0">
                  <c:v>91571381.554545462</c:v>
                </c:pt>
                <c:pt idx="1">
                  <c:v>95835933.263636366</c:v>
                </c:pt>
                <c:pt idx="2">
                  <c:v>90376911.163636357</c:v>
                </c:pt>
                <c:pt idx="3">
                  <c:v>105017919.52272728</c:v>
                </c:pt>
                <c:pt idx="4">
                  <c:v>86857627.945454538</c:v>
                </c:pt>
                <c:pt idx="5">
                  <c:v>85277282.4909091</c:v>
                </c:pt>
                <c:pt idx="6">
                  <c:v>94182697.445454538</c:v>
                </c:pt>
                <c:pt idx="7">
                  <c:v>87532322.404545456</c:v>
                </c:pt>
                <c:pt idx="8">
                  <c:v>94408670.968181819</c:v>
                </c:pt>
                <c:pt idx="9">
                  <c:v>87301128.377272725</c:v>
                </c:pt>
                <c:pt idx="10">
                  <c:v>82746446.936363637</c:v>
                </c:pt>
                <c:pt idx="11">
                  <c:v>88364300.690909088</c:v>
                </c:pt>
                <c:pt idx="12">
                  <c:v>99915388.781727284</c:v>
                </c:pt>
                <c:pt idx="13">
                  <c:v>104681791.32918182</c:v>
                </c:pt>
                <c:pt idx="14">
                  <c:v>98660994.330181837</c:v>
                </c:pt>
                <c:pt idx="15">
                  <c:v>101506097.64113636</c:v>
                </c:pt>
                <c:pt idx="16">
                  <c:v>94718366.723272726</c:v>
                </c:pt>
                <c:pt idx="17">
                  <c:v>93013739.45054546</c:v>
                </c:pt>
                <c:pt idx="18">
                  <c:v>102738144.32827275</c:v>
                </c:pt>
                <c:pt idx="19">
                  <c:v>95447358.393227279</c:v>
                </c:pt>
                <c:pt idx="20">
                  <c:v>102943382.7294091</c:v>
                </c:pt>
                <c:pt idx="21">
                  <c:v>95129974.459863633</c:v>
                </c:pt>
                <c:pt idx="22">
                  <c:v>90111253.158818185</c:v>
                </c:pt>
                <c:pt idx="23">
                  <c:v>86855970.308545455</c:v>
                </c:pt>
              </c:numCache>
            </c:numRef>
          </c:val>
          <c:extLst>
            <c:ext xmlns:c16="http://schemas.microsoft.com/office/drawing/2014/chart" uri="{C3380CC4-5D6E-409C-BE32-E72D297353CC}">
              <c16:uniqueId val="{00000001-7217-453A-B929-DCF5A101957A}"/>
            </c:ext>
          </c:extLst>
        </c:ser>
        <c:dLbls>
          <c:showLegendKey val="0"/>
          <c:showVal val="0"/>
          <c:showCatName val="0"/>
          <c:showSerName val="0"/>
          <c:showPercent val="0"/>
          <c:showBubbleSize val="0"/>
        </c:dLbls>
        <c:axId val="1110735216"/>
        <c:axId val="1110736176"/>
      </c:areaChart>
      <c:catAx>
        <c:axId val="1110735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110736176"/>
        <c:crosses val="autoZero"/>
        <c:auto val="1"/>
        <c:lblAlgn val="ctr"/>
        <c:lblOffset val="100"/>
        <c:noMultiLvlLbl val="0"/>
      </c:catAx>
      <c:valAx>
        <c:axId val="1110736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1107352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Sales Overview 2024-2025.xlsx]Pivot tables+ Analysis!Tabela przestawna5</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 Analysis'!$B$3:$B$5</c:f>
              <c:strCache>
                <c:ptCount val="1"/>
                <c:pt idx="0">
                  <c:v>2024</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422-40FF-8A91-F1CFE41C9C8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422-40FF-8A91-F1CFE41C9C8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1422-40FF-8A91-F1CFE41C9C8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1422-40FF-8A91-F1CFE41C9C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in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Analysis'!$A$6:$A$10</c:f>
              <c:strCache>
                <c:ptCount val="4"/>
                <c:pt idx="0">
                  <c:v>Air</c:v>
                </c:pt>
                <c:pt idx="1">
                  <c:v>Ocean</c:v>
                </c:pt>
                <c:pt idx="2">
                  <c:v>RAIL</c:v>
                </c:pt>
                <c:pt idx="3">
                  <c:v>ROAD</c:v>
                </c:pt>
              </c:strCache>
            </c:strRef>
          </c:cat>
          <c:val>
            <c:numRef>
              <c:f>'Pivot tables+ Analysis'!$B$6:$B$10</c:f>
              <c:numCache>
                <c:formatCode>#,##0.00</c:formatCode>
                <c:ptCount val="4"/>
                <c:pt idx="0">
                  <c:v>2036363.636363636</c:v>
                </c:pt>
                <c:pt idx="1">
                  <c:v>301615965</c:v>
                </c:pt>
                <c:pt idx="2">
                  <c:v>26705000</c:v>
                </c:pt>
                <c:pt idx="3">
                  <c:v>6739773.5999999978</c:v>
                </c:pt>
              </c:numCache>
            </c:numRef>
          </c:val>
          <c:extLst>
            <c:ext xmlns:c16="http://schemas.microsoft.com/office/drawing/2014/chart" uri="{C3380CC4-5D6E-409C-BE32-E72D297353CC}">
              <c16:uniqueId val="{00000008-1422-40FF-8A91-F1CFE41C9C8A}"/>
            </c:ext>
          </c:extLst>
        </c:ser>
        <c:ser>
          <c:idx val="1"/>
          <c:order val="1"/>
          <c:tx>
            <c:strRef>
              <c:f>'Pivot tables+ Analysis'!$C$3:$C$5</c:f>
              <c:strCache>
                <c:ptCount val="1"/>
                <c:pt idx="0">
                  <c:v>2025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A-1422-40FF-8A91-F1CFE41C9C8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1422-40FF-8A91-F1CFE41C9C8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1422-40FF-8A91-F1CFE41C9C8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0-1422-40FF-8A91-F1CFE41C9C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in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Analysis'!$A$6:$A$10</c:f>
              <c:strCache>
                <c:ptCount val="4"/>
                <c:pt idx="0">
                  <c:v>Air</c:v>
                </c:pt>
                <c:pt idx="1">
                  <c:v>Ocean</c:v>
                </c:pt>
                <c:pt idx="2">
                  <c:v>RAIL</c:v>
                </c:pt>
                <c:pt idx="3">
                  <c:v>ROAD</c:v>
                </c:pt>
              </c:strCache>
            </c:strRef>
          </c:cat>
          <c:val>
            <c:numRef>
              <c:f>'Pivot tables+ Analysis'!$C$6:$C$10</c:f>
              <c:numCache>
                <c:formatCode>#,##0.00</c:formatCode>
                <c:ptCount val="4"/>
                <c:pt idx="0">
                  <c:v>2341818.1818181816</c:v>
                </c:pt>
                <c:pt idx="1">
                  <c:v>328925061.5</c:v>
                </c:pt>
                <c:pt idx="2">
                  <c:v>26950000</c:v>
                </c:pt>
                <c:pt idx="3">
                  <c:v>7378447.3839999959</c:v>
                </c:pt>
              </c:numCache>
            </c:numRef>
          </c:val>
          <c:extLst>
            <c:ext xmlns:c16="http://schemas.microsoft.com/office/drawing/2014/chart" uri="{C3380CC4-5D6E-409C-BE32-E72D297353CC}">
              <c16:uniqueId val="{00000011-1422-40FF-8A91-F1CFE41C9C8A}"/>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Sales Overview 2024-2025.xlsx]Pivot tables+ Analysis!Tabela przestawna2</c:name>
    <c:fmtId val="18"/>
  </c:pivotSource>
  <c:chart>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x"/>
          <c:size val="6"/>
          <c:spPr>
            <a:no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rnd">
            <a:solidFill>
              <a:schemeClr val="accent1"/>
            </a:solidFill>
            <a:round/>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rnd">
            <a:solidFill>
              <a:schemeClr val="accent1"/>
            </a:solidFill>
            <a:round/>
          </a:ln>
          <a:effectLst/>
        </c:spPr>
        <c:marker>
          <c:symbol val="x"/>
          <c:size val="6"/>
          <c:spPr>
            <a:no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round/>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round/>
          </a:ln>
          <a:effectLst/>
        </c:spPr>
        <c:marker>
          <c:symbol val="x"/>
          <c:size val="6"/>
          <c:spPr>
            <a:no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Analysis'!$B$140:$B$141</c:f>
              <c:strCache>
                <c:ptCount val="1"/>
                <c:pt idx="0">
                  <c:v>Air</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multiLvlStrRef>
              <c:f>'Pivot tables+ Analysis'!$A$142:$A$168</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2024</c:v>
                  </c:pt>
                  <c:pt idx="12">
                    <c:v>2025</c:v>
                  </c:pt>
                </c:lvl>
              </c:multiLvlStrCache>
            </c:multiLvlStrRef>
          </c:cat>
          <c:val>
            <c:numRef>
              <c:f>'Pivot tables+ Analysis'!$B$142:$B$168</c:f>
              <c:numCache>
                <c:formatCode>#,##0</c:formatCode>
                <c:ptCount val="24"/>
                <c:pt idx="0">
                  <c:v>212121.21212121216</c:v>
                </c:pt>
                <c:pt idx="1">
                  <c:v>198863.63636363647</c:v>
                </c:pt>
                <c:pt idx="2">
                  <c:v>140530.30303030298</c:v>
                </c:pt>
                <c:pt idx="3">
                  <c:v>127272.72727272729</c:v>
                </c:pt>
                <c:pt idx="4">
                  <c:v>137878.78787878784</c:v>
                </c:pt>
                <c:pt idx="5">
                  <c:v>217424.2424242422</c:v>
                </c:pt>
                <c:pt idx="6">
                  <c:v>225378.78787878784</c:v>
                </c:pt>
                <c:pt idx="7">
                  <c:v>212121.21212121216</c:v>
                </c:pt>
                <c:pt idx="8">
                  <c:v>148484.84848484863</c:v>
                </c:pt>
                <c:pt idx="9">
                  <c:v>135227.27272727271</c:v>
                </c:pt>
                <c:pt idx="10">
                  <c:v>121969.69696969679</c:v>
                </c:pt>
                <c:pt idx="11">
                  <c:v>159090.90909090894</c:v>
                </c:pt>
                <c:pt idx="12">
                  <c:v>243939.39393939404</c:v>
                </c:pt>
                <c:pt idx="13">
                  <c:v>228693.18181818165</c:v>
                </c:pt>
                <c:pt idx="14">
                  <c:v>161609.84848484863</c:v>
                </c:pt>
                <c:pt idx="15">
                  <c:v>146363.63636363647</c:v>
                </c:pt>
                <c:pt idx="16">
                  <c:v>158560.60606060619</c:v>
                </c:pt>
                <c:pt idx="17">
                  <c:v>250037.87878787844</c:v>
                </c:pt>
                <c:pt idx="18">
                  <c:v>259185.60606060596</c:v>
                </c:pt>
                <c:pt idx="19">
                  <c:v>243939.39393939381</c:v>
                </c:pt>
                <c:pt idx="20">
                  <c:v>170757.57575757615</c:v>
                </c:pt>
                <c:pt idx="21">
                  <c:v>155511.36363636353</c:v>
                </c:pt>
                <c:pt idx="22">
                  <c:v>140265.15151515137</c:v>
                </c:pt>
                <c:pt idx="23">
                  <c:v>182954.54545454541</c:v>
                </c:pt>
              </c:numCache>
            </c:numRef>
          </c:val>
          <c:smooth val="0"/>
          <c:extLst>
            <c:ext xmlns:c16="http://schemas.microsoft.com/office/drawing/2014/chart" uri="{C3380CC4-5D6E-409C-BE32-E72D297353CC}">
              <c16:uniqueId val="{00000000-EA4B-48BF-8301-E4E5C4664980}"/>
            </c:ext>
          </c:extLst>
        </c:ser>
        <c:ser>
          <c:idx val="1"/>
          <c:order val="1"/>
          <c:tx>
            <c:strRef>
              <c:f>'Pivot tables+ Analysis'!$C$140:$C$141</c:f>
              <c:strCache>
                <c:ptCount val="1"/>
                <c:pt idx="0">
                  <c:v>Ocean</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multiLvlStrRef>
              <c:f>'Pivot tables+ Analysis'!$A$142:$A$168</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2024</c:v>
                  </c:pt>
                  <c:pt idx="12">
                    <c:v>2025</c:v>
                  </c:pt>
                </c:lvl>
              </c:multiLvlStrCache>
            </c:multiLvlStrRef>
          </c:cat>
          <c:val>
            <c:numRef>
              <c:f>'Pivot tables+ Analysis'!$C$142:$C$168</c:f>
              <c:numCache>
                <c:formatCode>#,##0</c:formatCode>
                <c:ptCount val="24"/>
                <c:pt idx="0">
                  <c:v>25764795</c:v>
                </c:pt>
                <c:pt idx="1">
                  <c:v>26537980</c:v>
                </c:pt>
                <c:pt idx="2">
                  <c:v>30558955</c:v>
                </c:pt>
                <c:pt idx="3">
                  <c:v>20813135</c:v>
                </c:pt>
                <c:pt idx="4">
                  <c:v>13930700</c:v>
                </c:pt>
                <c:pt idx="5">
                  <c:v>27762315</c:v>
                </c:pt>
                <c:pt idx="6">
                  <c:v>21147770</c:v>
                </c:pt>
                <c:pt idx="7">
                  <c:v>25395370</c:v>
                </c:pt>
                <c:pt idx="8">
                  <c:v>23658320</c:v>
                </c:pt>
                <c:pt idx="9">
                  <c:v>30284730</c:v>
                </c:pt>
                <c:pt idx="10">
                  <c:v>31626770</c:v>
                </c:pt>
                <c:pt idx="11">
                  <c:v>24135125</c:v>
                </c:pt>
                <c:pt idx="12">
                  <c:v>28306274.499999985</c:v>
                </c:pt>
                <c:pt idx="13">
                  <c:v>29174278.000000015</c:v>
                </c:pt>
                <c:pt idx="14">
                  <c:v>33684850.5</c:v>
                </c:pt>
                <c:pt idx="15">
                  <c:v>19884448.5</c:v>
                </c:pt>
                <c:pt idx="16">
                  <c:v>15393770.000000015</c:v>
                </c:pt>
                <c:pt idx="17">
                  <c:v>30486046.500000007</c:v>
                </c:pt>
                <c:pt idx="18">
                  <c:v>23192546.999999985</c:v>
                </c:pt>
                <c:pt idx="19">
                  <c:v>27882407</c:v>
                </c:pt>
                <c:pt idx="20">
                  <c:v>26076651.999999985</c:v>
                </c:pt>
                <c:pt idx="21">
                  <c:v>33383203.000000015</c:v>
                </c:pt>
                <c:pt idx="22">
                  <c:v>34876947.000000015</c:v>
                </c:pt>
                <c:pt idx="23">
                  <c:v>26583637.5</c:v>
                </c:pt>
              </c:numCache>
            </c:numRef>
          </c:val>
          <c:smooth val="0"/>
          <c:extLst>
            <c:ext xmlns:c16="http://schemas.microsoft.com/office/drawing/2014/chart" uri="{C3380CC4-5D6E-409C-BE32-E72D297353CC}">
              <c16:uniqueId val="{00000001-EA4B-48BF-8301-E4E5C4664980}"/>
            </c:ext>
          </c:extLst>
        </c:ser>
        <c:ser>
          <c:idx val="2"/>
          <c:order val="2"/>
          <c:tx>
            <c:strRef>
              <c:f>'Pivot tables+ Analysis'!$D$140:$D$141</c:f>
              <c:strCache>
                <c:ptCount val="1"/>
                <c:pt idx="0">
                  <c:v>RAIL</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cat>
            <c:multiLvlStrRef>
              <c:f>'Pivot tables+ Analysis'!$A$142:$A$168</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2024</c:v>
                  </c:pt>
                  <c:pt idx="12">
                    <c:v>2025</c:v>
                  </c:pt>
                </c:lvl>
              </c:multiLvlStrCache>
            </c:multiLvlStrRef>
          </c:cat>
          <c:val>
            <c:numRef>
              <c:f>'Pivot tables+ Analysis'!$D$142:$D$168</c:f>
              <c:numCache>
                <c:formatCode>#,##0</c:formatCode>
                <c:ptCount val="24"/>
                <c:pt idx="0">
                  <c:v>2100000</c:v>
                </c:pt>
                <c:pt idx="1">
                  <c:v>1995000</c:v>
                </c:pt>
                <c:pt idx="2">
                  <c:v>1925000</c:v>
                </c:pt>
                <c:pt idx="3">
                  <c:v>1960000</c:v>
                </c:pt>
                <c:pt idx="4">
                  <c:v>2030000</c:v>
                </c:pt>
                <c:pt idx="5">
                  <c:v>2100000</c:v>
                </c:pt>
                <c:pt idx="6">
                  <c:v>2170000</c:v>
                </c:pt>
                <c:pt idx="7">
                  <c:v>2135000</c:v>
                </c:pt>
                <c:pt idx="8">
                  <c:v>2065000</c:v>
                </c:pt>
                <c:pt idx="9">
                  <c:v>2030000</c:v>
                </c:pt>
                <c:pt idx="10">
                  <c:v>1995000</c:v>
                </c:pt>
                <c:pt idx="11">
                  <c:v>4200000</c:v>
                </c:pt>
                <c:pt idx="12">
                  <c:v>2275000</c:v>
                </c:pt>
                <c:pt idx="13">
                  <c:v>2170000</c:v>
                </c:pt>
                <c:pt idx="14">
                  <c:v>2100000</c:v>
                </c:pt>
                <c:pt idx="15">
                  <c:v>2170000</c:v>
                </c:pt>
                <c:pt idx="16">
                  <c:v>2205000</c:v>
                </c:pt>
                <c:pt idx="17">
                  <c:v>2275000</c:v>
                </c:pt>
                <c:pt idx="18">
                  <c:v>2345000</c:v>
                </c:pt>
                <c:pt idx="19">
                  <c:v>2310000</c:v>
                </c:pt>
                <c:pt idx="20">
                  <c:v>2310000</c:v>
                </c:pt>
                <c:pt idx="21">
                  <c:v>2275000</c:v>
                </c:pt>
                <c:pt idx="22">
                  <c:v>2240000</c:v>
                </c:pt>
                <c:pt idx="23">
                  <c:v>2275000</c:v>
                </c:pt>
              </c:numCache>
            </c:numRef>
          </c:val>
          <c:smooth val="0"/>
          <c:extLst>
            <c:ext xmlns:c16="http://schemas.microsoft.com/office/drawing/2014/chart" uri="{C3380CC4-5D6E-409C-BE32-E72D297353CC}">
              <c16:uniqueId val="{00000002-EA4B-48BF-8301-E4E5C4664980}"/>
            </c:ext>
          </c:extLst>
        </c:ser>
        <c:ser>
          <c:idx val="3"/>
          <c:order val="3"/>
          <c:tx>
            <c:strRef>
              <c:f>'Pivot tables+ Analysis'!$E$140:$E$141</c:f>
              <c:strCache>
                <c:ptCount val="1"/>
                <c:pt idx="0">
                  <c:v>ROAD</c:v>
                </c:pt>
              </c:strCache>
            </c:strRef>
          </c:tx>
          <c:spPr>
            <a:ln w="22225" cap="rnd">
              <a:solidFill>
                <a:schemeClr val="accent4"/>
              </a:solidFill>
              <a:round/>
            </a:ln>
            <a:effectLst/>
          </c:spPr>
          <c:marker>
            <c:symbol val="x"/>
            <c:size val="6"/>
            <c:spPr>
              <a:noFill/>
              <a:ln w="9525">
                <a:solidFill>
                  <a:schemeClr val="accent4"/>
                </a:solidFill>
                <a:round/>
              </a:ln>
              <a:effectLst/>
            </c:spPr>
          </c:marker>
          <c:cat>
            <c:multiLvlStrRef>
              <c:f>'Pivot tables+ Analysis'!$A$142:$A$168</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2024</c:v>
                  </c:pt>
                  <c:pt idx="12">
                    <c:v>2025</c:v>
                  </c:pt>
                </c:lvl>
              </c:multiLvlStrCache>
            </c:multiLvlStrRef>
          </c:cat>
          <c:val>
            <c:numRef>
              <c:f>'Pivot tables+ Analysis'!$E$142:$E$168</c:f>
              <c:numCache>
                <c:formatCode>#,##0</c:formatCode>
                <c:ptCount val="24"/>
                <c:pt idx="0">
                  <c:v>506958.90000000014</c:v>
                </c:pt>
                <c:pt idx="1">
                  <c:v>659633.10000000009</c:v>
                </c:pt>
                <c:pt idx="2">
                  <c:v>555895.19999999972</c:v>
                </c:pt>
                <c:pt idx="3">
                  <c:v>583332.75</c:v>
                </c:pt>
                <c:pt idx="4">
                  <c:v>598701.59999999963</c:v>
                </c:pt>
                <c:pt idx="5">
                  <c:v>451701.59999999986</c:v>
                </c:pt>
                <c:pt idx="6">
                  <c:v>518072.09999999986</c:v>
                </c:pt>
                <c:pt idx="7">
                  <c:v>531133.04999999981</c:v>
                </c:pt>
                <c:pt idx="8">
                  <c:v>538100.84999999986</c:v>
                </c:pt>
                <c:pt idx="9">
                  <c:v>596239.35000000009</c:v>
                </c:pt>
                <c:pt idx="10">
                  <c:v>614621.69999999972</c:v>
                </c:pt>
                <c:pt idx="11">
                  <c:v>585383.39999999991</c:v>
                </c:pt>
                <c:pt idx="12">
                  <c:v>554999.2910000002</c:v>
                </c:pt>
                <c:pt idx="13">
                  <c:v>722141.18899999978</c:v>
                </c:pt>
                <c:pt idx="14">
                  <c:v>608572.88799999934</c:v>
                </c:pt>
                <c:pt idx="15">
                  <c:v>638610.47249999968</c:v>
                </c:pt>
                <c:pt idx="16">
                  <c:v>655435.70399999944</c:v>
                </c:pt>
                <c:pt idx="17">
                  <c:v>494505.70399999968</c:v>
                </c:pt>
                <c:pt idx="18">
                  <c:v>567165.59899999946</c:v>
                </c:pt>
                <c:pt idx="19">
                  <c:v>581464.2294999999</c:v>
                </c:pt>
                <c:pt idx="20">
                  <c:v>589092.31149999984</c:v>
                </c:pt>
                <c:pt idx="21">
                  <c:v>652740.12649999978</c:v>
                </c:pt>
                <c:pt idx="22">
                  <c:v>672864.42299999949</c:v>
                </c:pt>
                <c:pt idx="23">
                  <c:v>640855.446</c:v>
                </c:pt>
              </c:numCache>
            </c:numRef>
          </c:val>
          <c:smooth val="0"/>
          <c:extLst>
            <c:ext xmlns:c16="http://schemas.microsoft.com/office/drawing/2014/chart" uri="{C3380CC4-5D6E-409C-BE32-E72D297353CC}">
              <c16:uniqueId val="{00000003-EA4B-48BF-8301-E4E5C4664980}"/>
            </c:ext>
          </c:extLst>
        </c:ser>
        <c:dLbls>
          <c:showLegendKey val="0"/>
          <c:showVal val="0"/>
          <c:showCatName val="0"/>
          <c:showSerName val="0"/>
          <c:showPercent val="0"/>
          <c:showBubbleSize val="0"/>
        </c:dLbls>
        <c:marker val="1"/>
        <c:smooth val="0"/>
        <c:axId val="1198184176"/>
        <c:axId val="1198189456"/>
      </c:lineChart>
      <c:catAx>
        <c:axId val="1198184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pl-PL"/>
          </a:p>
        </c:txPr>
        <c:crossAx val="1198189456"/>
        <c:crosses val="autoZero"/>
        <c:auto val="1"/>
        <c:lblAlgn val="ctr"/>
        <c:lblOffset val="100"/>
        <c:noMultiLvlLbl val="0"/>
      </c:catAx>
      <c:valAx>
        <c:axId val="1198189456"/>
        <c:scaling>
          <c:orientation val="minMax"/>
        </c:scaling>
        <c:delete val="0"/>
        <c:axPos val="l"/>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19818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Sales Overview 2024-2025.xlsx]Pivot tables+ Analysis!Tabela przestawna4</c:name>
    <c:fmtId val="2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Analysis'!$B$75:$B$76</c:f>
              <c:strCache>
                <c:ptCount val="1"/>
                <c:pt idx="0">
                  <c:v>1</c:v>
                </c:pt>
              </c:strCache>
            </c:strRef>
          </c:tx>
          <c:spPr>
            <a:solidFill>
              <a:schemeClr val="accent1"/>
            </a:solidFill>
            <a:ln>
              <a:noFill/>
            </a:ln>
            <a:effectLst/>
          </c:spPr>
          <c:invertIfNegative val="0"/>
          <c:cat>
            <c:multiLvlStrRef>
              <c:f>'Pivot tables+ Analysis'!$A$77:$A$87</c:f>
              <c:multiLvlStrCache>
                <c:ptCount val="8"/>
                <c:lvl>
                  <c:pt idx="0">
                    <c:v>Air</c:v>
                  </c:pt>
                  <c:pt idx="1">
                    <c:v>Ocean</c:v>
                  </c:pt>
                  <c:pt idx="2">
                    <c:v>RAIL</c:v>
                  </c:pt>
                  <c:pt idx="3">
                    <c:v>ROAD</c:v>
                  </c:pt>
                  <c:pt idx="4">
                    <c:v>Air</c:v>
                  </c:pt>
                  <c:pt idx="5">
                    <c:v>Ocean</c:v>
                  </c:pt>
                  <c:pt idx="6">
                    <c:v>RAIL</c:v>
                  </c:pt>
                  <c:pt idx="7">
                    <c:v>ROAD</c:v>
                  </c:pt>
                </c:lvl>
                <c:lvl>
                  <c:pt idx="0">
                    <c:v>2024</c:v>
                  </c:pt>
                  <c:pt idx="4">
                    <c:v>2025</c:v>
                  </c:pt>
                </c:lvl>
              </c:multiLvlStrCache>
            </c:multiLvlStrRef>
          </c:cat>
          <c:val>
            <c:numRef>
              <c:f>'Pivot tables+ Analysis'!$B$77:$B$87</c:f>
              <c:numCache>
                <c:formatCode>0</c:formatCode>
                <c:ptCount val="8"/>
                <c:pt idx="0">
                  <c:v>2100</c:v>
                </c:pt>
                <c:pt idx="1">
                  <c:v>72135</c:v>
                </c:pt>
                <c:pt idx="2">
                  <c:v>18200</c:v>
                </c:pt>
                <c:pt idx="3">
                  <c:v>1960</c:v>
                </c:pt>
                <c:pt idx="4">
                  <c:v>2310</c:v>
                </c:pt>
                <c:pt idx="5">
                  <c:v>77879</c:v>
                </c:pt>
                <c:pt idx="6">
                  <c:v>18900</c:v>
                </c:pt>
                <c:pt idx="7">
                  <c:v>2156</c:v>
                </c:pt>
              </c:numCache>
            </c:numRef>
          </c:val>
          <c:extLst>
            <c:ext xmlns:c16="http://schemas.microsoft.com/office/drawing/2014/chart" uri="{C3380CC4-5D6E-409C-BE32-E72D297353CC}">
              <c16:uniqueId val="{00000000-60DD-4408-B61B-3A1785B733EE}"/>
            </c:ext>
          </c:extLst>
        </c:ser>
        <c:ser>
          <c:idx val="1"/>
          <c:order val="1"/>
          <c:tx>
            <c:strRef>
              <c:f>'Pivot tables+ Analysis'!$C$75:$C$76</c:f>
              <c:strCache>
                <c:ptCount val="1"/>
                <c:pt idx="0">
                  <c:v>2</c:v>
                </c:pt>
              </c:strCache>
            </c:strRef>
          </c:tx>
          <c:spPr>
            <a:solidFill>
              <a:schemeClr val="accent2"/>
            </a:solidFill>
            <a:ln>
              <a:noFill/>
            </a:ln>
            <a:effectLst/>
          </c:spPr>
          <c:invertIfNegative val="0"/>
          <c:cat>
            <c:multiLvlStrRef>
              <c:f>'Pivot tables+ Analysis'!$A$77:$A$87</c:f>
              <c:multiLvlStrCache>
                <c:ptCount val="8"/>
                <c:lvl>
                  <c:pt idx="0">
                    <c:v>Air</c:v>
                  </c:pt>
                  <c:pt idx="1">
                    <c:v>Ocean</c:v>
                  </c:pt>
                  <c:pt idx="2">
                    <c:v>RAIL</c:v>
                  </c:pt>
                  <c:pt idx="3">
                    <c:v>ROAD</c:v>
                  </c:pt>
                  <c:pt idx="4">
                    <c:v>Air</c:v>
                  </c:pt>
                  <c:pt idx="5">
                    <c:v>Ocean</c:v>
                  </c:pt>
                  <c:pt idx="6">
                    <c:v>RAIL</c:v>
                  </c:pt>
                  <c:pt idx="7">
                    <c:v>ROAD</c:v>
                  </c:pt>
                </c:lvl>
                <c:lvl>
                  <c:pt idx="0">
                    <c:v>2024</c:v>
                  </c:pt>
                  <c:pt idx="4">
                    <c:v>2025</c:v>
                  </c:pt>
                </c:lvl>
              </c:multiLvlStrCache>
            </c:multiLvlStrRef>
          </c:cat>
          <c:val>
            <c:numRef>
              <c:f>'Pivot tables+ Analysis'!$C$77:$C$87</c:f>
              <c:numCache>
                <c:formatCode>0</c:formatCode>
                <c:ptCount val="8"/>
                <c:pt idx="0">
                  <c:v>1925</c:v>
                </c:pt>
                <c:pt idx="1">
                  <c:v>75320</c:v>
                </c:pt>
                <c:pt idx="2">
                  <c:v>17850</c:v>
                </c:pt>
                <c:pt idx="3">
                  <c:v>2695</c:v>
                </c:pt>
                <c:pt idx="4">
                  <c:v>2118</c:v>
                </c:pt>
                <c:pt idx="5">
                  <c:v>81452</c:v>
                </c:pt>
                <c:pt idx="6">
                  <c:v>18725</c:v>
                </c:pt>
                <c:pt idx="7">
                  <c:v>2965</c:v>
                </c:pt>
              </c:numCache>
            </c:numRef>
          </c:val>
          <c:extLst>
            <c:ext xmlns:c16="http://schemas.microsoft.com/office/drawing/2014/chart" uri="{C3380CC4-5D6E-409C-BE32-E72D297353CC}">
              <c16:uniqueId val="{00000001-60DD-4408-B61B-3A1785B733EE}"/>
            </c:ext>
          </c:extLst>
        </c:ser>
        <c:ser>
          <c:idx val="2"/>
          <c:order val="2"/>
          <c:tx>
            <c:strRef>
              <c:f>'Pivot tables+ Analysis'!$D$75:$D$76</c:f>
              <c:strCache>
                <c:ptCount val="1"/>
                <c:pt idx="0">
                  <c:v>3</c:v>
                </c:pt>
              </c:strCache>
            </c:strRef>
          </c:tx>
          <c:spPr>
            <a:solidFill>
              <a:schemeClr val="accent3"/>
            </a:solidFill>
            <a:ln>
              <a:noFill/>
            </a:ln>
            <a:effectLst/>
          </c:spPr>
          <c:invertIfNegative val="0"/>
          <c:cat>
            <c:multiLvlStrRef>
              <c:f>'Pivot tables+ Analysis'!$A$77:$A$87</c:f>
              <c:multiLvlStrCache>
                <c:ptCount val="8"/>
                <c:lvl>
                  <c:pt idx="0">
                    <c:v>Air</c:v>
                  </c:pt>
                  <c:pt idx="1">
                    <c:v>Ocean</c:v>
                  </c:pt>
                  <c:pt idx="2">
                    <c:v>RAIL</c:v>
                  </c:pt>
                  <c:pt idx="3">
                    <c:v>ROAD</c:v>
                  </c:pt>
                  <c:pt idx="4">
                    <c:v>Air</c:v>
                  </c:pt>
                  <c:pt idx="5">
                    <c:v>Ocean</c:v>
                  </c:pt>
                  <c:pt idx="6">
                    <c:v>RAIL</c:v>
                  </c:pt>
                  <c:pt idx="7">
                    <c:v>ROAD</c:v>
                  </c:pt>
                </c:lvl>
                <c:lvl>
                  <c:pt idx="0">
                    <c:v>2024</c:v>
                  </c:pt>
                  <c:pt idx="4">
                    <c:v>2025</c:v>
                  </c:pt>
                </c:lvl>
              </c:multiLvlStrCache>
            </c:multiLvlStrRef>
          </c:cat>
          <c:val>
            <c:numRef>
              <c:f>'Pivot tables+ Analysis'!$D$77:$D$87</c:f>
              <c:numCache>
                <c:formatCode>0</c:formatCode>
                <c:ptCount val="8"/>
                <c:pt idx="0">
                  <c:v>1645</c:v>
                </c:pt>
                <c:pt idx="1">
                  <c:v>71260</c:v>
                </c:pt>
                <c:pt idx="2">
                  <c:v>17500</c:v>
                </c:pt>
                <c:pt idx="3">
                  <c:v>2415</c:v>
                </c:pt>
                <c:pt idx="4">
                  <c:v>1810</c:v>
                </c:pt>
                <c:pt idx="5">
                  <c:v>77441</c:v>
                </c:pt>
                <c:pt idx="6">
                  <c:v>18375</c:v>
                </c:pt>
                <c:pt idx="7">
                  <c:v>2657</c:v>
                </c:pt>
              </c:numCache>
            </c:numRef>
          </c:val>
          <c:extLst>
            <c:ext xmlns:c16="http://schemas.microsoft.com/office/drawing/2014/chart" uri="{C3380CC4-5D6E-409C-BE32-E72D297353CC}">
              <c16:uniqueId val="{00000002-60DD-4408-B61B-3A1785B733EE}"/>
            </c:ext>
          </c:extLst>
        </c:ser>
        <c:ser>
          <c:idx val="3"/>
          <c:order val="3"/>
          <c:tx>
            <c:strRef>
              <c:f>'Pivot tables+ Analysis'!$E$75:$E$76</c:f>
              <c:strCache>
                <c:ptCount val="1"/>
                <c:pt idx="0">
                  <c:v>4</c:v>
                </c:pt>
              </c:strCache>
            </c:strRef>
          </c:tx>
          <c:spPr>
            <a:solidFill>
              <a:schemeClr val="accent4"/>
            </a:solidFill>
            <a:ln>
              <a:noFill/>
            </a:ln>
            <a:effectLst/>
          </c:spPr>
          <c:invertIfNegative val="0"/>
          <c:cat>
            <c:multiLvlStrRef>
              <c:f>'Pivot tables+ Analysis'!$A$77:$A$87</c:f>
              <c:multiLvlStrCache>
                <c:ptCount val="8"/>
                <c:lvl>
                  <c:pt idx="0">
                    <c:v>Air</c:v>
                  </c:pt>
                  <c:pt idx="1">
                    <c:v>Ocean</c:v>
                  </c:pt>
                  <c:pt idx="2">
                    <c:v>RAIL</c:v>
                  </c:pt>
                  <c:pt idx="3">
                    <c:v>ROAD</c:v>
                  </c:pt>
                  <c:pt idx="4">
                    <c:v>Air</c:v>
                  </c:pt>
                  <c:pt idx="5">
                    <c:v>Ocean</c:v>
                  </c:pt>
                  <c:pt idx="6">
                    <c:v>RAIL</c:v>
                  </c:pt>
                  <c:pt idx="7">
                    <c:v>ROAD</c:v>
                  </c:pt>
                </c:lvl>
                <c:lvl>
                  <c:pt idx="0">
                    <c:v>2024</c:v>
                  </c:pt>
                  <c:pt idx="4">
                    <c:v>2025</c:v>
                  </c:pt>
                </c:lvl>
              </c:multiLvlStrCache>
            </c:multiLvlStrRef>
          </c:cat>
          <c:val>
            <c:numRef>
              <c:f>'Pivot tables+ Analysis'!$E$77:$E$87</c:f>
              <c:numCache>
                <c:formatCode>0</c:formatCode>
                <c:ptCount val="8"/>
                <c:pt idx="0">
                  <c:v>2065</c:v>
                </c:pt>
                <c:pt idx="1">
                  <c:v>88200</c:v>
                </c:pt>
                <c:pt idx="2">
                  <c:v>17675</c:v>
                </c:pt>
                <c:pt idx="3">
                  <c:v>2485</c:v>
                </c:pt>
                <c:pt idx="4">
                  <c:v>2272</c:v>
                </c:pt>
                <c:pt idx="5">
                  <c:v>70700</c:v>
                </c:pt>
                <c:pt idx="6">
                  <c:v>18550</c:v>
                </c:pt>
                <c:pt idx="7">
                  <c:v>2734</c:v>
                </c:pt>
              </c:numCache>
            </c:numRef>
          </c:val>
          <c:extLst>
            <c:ext xmlns:c16="http://schemas.microsoft.com/office/drawing/2014/chart" uri="{C3380CC4-5D6E-409C-BE32-E72D297353CC}">
              <c16:uniqueId val="{00000003-60DD-4408-B61B-3A1785B733EE}"/>
            </c:ext>
          </c:extLst>
        </c:ser>
        <c:ser>
          <c:idx val="4"/>
          <c:order val="4"/>
          <c:tx>
            <c:strRef>
              <c:f>'Pivot tables+ Analysis'!$F$75:$F$76</c:f>
              <c:strCache>
                <c:ptCount val="1"/>
                <c:pt idx="0">
                  <c:v>5</c:v>
                </c:pt>
              </c:strCache>
            </c:strRef>
          </c:tx>
          <c:spPr>
            <a:solidFill>
              <a:schemeClr val="accent5"/>
            </a:solidFill>
            <a:ln>
              <a:noFill/>
            </a:ln>
            <a:effectLst/>
          </c:spPr>
          <c:invertIfNegative val="0"/>
          <c:cat>
            <c:multiLvlStrRef>
              <c:f>'Pivot tables+ Analysis'!$A$77:$A$87</c:f>
              <c:multiLvlStrCache>
                <c:ptCount val="8"/>
                <c:lvl>
                  <c:pt idx="0">
                    <c:v>Air</c:v>
                  </c:pt>
                  <c:pt idx="1">
                    <c:v>Ocean</c:v>
                  </c:pt>
                  <c:pt idx="2">
                    <c:v>RAIL</c:v>
                  </c:pt>
                  <c:pt idx="3">
                    <c:v>ROAD</c:v>
                  </c:pt>
                  <c:pt idx="4">
                    <c:v>Air</c:v>
                  </c:pt>
                  <c:pt idx="5">
                    <c:v>Ocean</c:v>
                  </c:pt>
                  <c:pt idx="6">
                    <c:v>RAIL</c:v>
                  </c:pt>
                  <c:pt idx="7">
                    <c:v>ROAD</c:v>
                  </c:pt>
                </c:lvl>
                <c:lvl>
                  <c:pt idx="0">
                    <c:v>2024</c:v>
                  </c:pt>
                  <c:pt idx="4">
                    <c:v>2025</c:v>
                  </c:pt>
                </c:lvl>
              </c:multiLvlStrCache>
            </c:multiLvlStrRef>
          </c:cat>
          <c:val>
            <c:numRef>
              <c:f>'Pivot tables+ Analysis'!$F$77:$F$87</c:f>
              <c:numCache>
                <c:formatCode>0</c:formatCode>
                <c:ptCount val="8"/>
                <c:pt idx="0">
                  <c:v>1785</c:v>
                </c:pt>
                <c:pt idx="1">
                  <c:v>59990</c:v>
                </c:pt>
                <c:pt idx="2">
                  <c:v>18025</c:v>
                </c:pt>
                <c:pt idx="3">
                  <c:v>2555</c:v>
                </c:pt>
                <c:pt idx="4">
                  <c:v>1964</c:v>
                </c:pt>
                <c:pt idx="5">
                  <c:v>64974</c:v>
                </c:pt>
                <c:pt idx="6">
                  <c:v>18725</c:v>
                </c:pt>
                <c:pt idx="7">
                  <c:v>2811</c:v>
                </c:pt>
              </c:numCache>
            </c:numRef>
          </c:val>
          <c:extLst>
            <c:ext xmlns:c16="http://schemas.microsoft.com/office/drawing/2014/chart" uri="{C3380CC4-5D6E-409C-BE32-E72D297353CC}">
              <c16:uniqueId val="{00000004-60DD-4408-B61B-3A1785B733EE}"/>
            </c:ext>
          </c:extLst>
        </c:ser>
        <c:ser>
          <c:idx val="5"/>
          <c:order val="5"/>
          <c:tx>
            <c:strRef>
              <c:f>'Pivot tables+ Analysis'!$G$75:$G$76</c:f>
              <c:strCache>
                <c:ptCount val="1"/>
                <c:pt idx="0">
                  <c:v>6</c:v>
                </c:pt>
              </c:strCache>
            </c:strRef>
          </c:tx>
          <c:spPr>
            <a:solidFill>
              <a:schemeClr val="accent6"/>
            </a:solidFill>
            <a:ln>
              <a:noFill/>
            </a:ln>
            <a:effectLst/>
          </c:spPr>
          <c:invertIfNegative val="0"/>
          <c:cat>
            <c:multiLvlStrRef>
              <c:f>'Pivot tables+ Analysis'!$A$77:$A$87</c:f>
              <c:multiLvlStrCache>
                <c:ptCount val="8"/>
                <c:lvl>
                  <c:pt idx="0">
                    <c:v>Air</c:v>
                  </c:pt>
                  <c:pt idx="1">
                    <c:v>Ocean</c:v>
                  </c:pt>
                  <c:pt idx="2">
                    <c:v>RAIL</c:v>
                  </c:pt>
                  <c:pt idx="3">
                    <c:v>ROAD</c:v>
                  </c:pt>
                  <c:pt idx="4">
                    <c:v>Air</c:v>
                  </c:pt>
                  <c:pt idx="5">
                    <c:v>Ocean</c:v>
                  </c:pt>
                  <c:pt idx="6">
                    <c:v>RAIL</c:v>
                  </c:pt>
                  <c:pt idx="7">
                    <c:v>ROAD</c:v>
                  </c:pt>
                </c:lvl>
                <c:lvl>
                  <c:pt idx="0">
                    <c:v>2024</c:v>
                  </c:pt>
                  <c:pt idx="4">
                    <c:v>2025</c:v>
                  </c:pt>
                </c:lvl>
              </c:multiLvlStrCache>
            </c:multiLvlStrRef>
          </c:cat>
          <c:val>
            <c:numRef>
              <c:f>'Pivot tables+ Analysis'!$G$77:$G$87</c:f>
              <c:numCache>
                <c:formatCode>0</c:formatCode>
                <c:ptCount val="8"/>
                <c:pt idx="0">
                  <c:v>2205</c:v>
                </c:pt>
                <c:pt idx="1">
                  <c:v>74760</c:v>
                </c:pt>
                <c:pt idx="2">
                  <c:v>18375</c:v>
                </c:pt>
                <c:pt idx="3">
                  <c:v>1925</c:v>
                </c:pt>
                <c:pt idx="4">
                  <c:v>2426</c:v>
                </c:pt>
                <c:pt idx="5">
                  <c:v>80906</c:v>
                </c:pt>
                <c:pt idx="6">
                  <c:v>19075</c:v>
                </c:pt>
                <c:pt idx="7">
                  <c:v>2118</c:v>
                </c:pt>
              </c:numCache>
            </c:numRef>
          </c:val>
          <c:extLst>
            <c:ext xmlns:c16="http://schemas.microsoft.com/office/drawing/2014/chart" uri="{C3380CC4-5D6E-409C-BE32-E72D297353CC}">
              <c16:uniqueId val="{00000005-60DD-4408-B61B-3A1785B733EE}"/>
            </c:ext>
          </c:extLst>
        </c:ser>
        <c:ser>
          <c:idx val="6"/>
          <c:order val="6"/>
          <c:tx>
            <c:strRef>
              <c:f>'Pivot tables+ Analysis'!$H$75:$H$76</c:f>
              <c:strCache>
                <c:ptCount val="1"/>
                <c:pt idx="0">
                  <c:v>7</c:v>
                </c:pt>
              </c:strCache>
            </c:strRef>
          </c:tx>
          <c:spPr>
            <a:solidFill>
              <a:schemeClr val="accent1">
                <a:lumMod val="60000"/>
              </a:schemeClr>
            </a:solidFill>
            <a:ln>
              <a:noFill/>
            </a:ln>
            <a:effectLst/>
          </c:spPr>
          <c:invertIfNegative val="0"/>
          <c:cat>
            <c:multiLvlStrRef>
              <c:f>'Pivot tables+ Analysis'!$A$77:$A$87</c:f>
              <c:multiLvlStrCache>
                <c:ptCount val="8"/>
                <c:lvl>
                  <c:pt idx="0">
                    <c:v>Air</c:v>
                  </c:pt>
                  <c:pt idx="1">
                    <c:v>Ocean</c:v>
                  </c:pt>
                  <c:pt idx="2">
                    <c:v>RAIL</c:v>
                  </c:pt>
                  <c:pt idx="3">
                    <c:v>ROAD</c:v>
                  </c:pt>
                  <c:pt idx="4">
                    <c:v>Air</c:v>
                  </c:pt>
                  <c:pt idx="5">
                    <c:v>Ocean</c:v>
                  </c:pt>
                  <c:pt idx="6">
                    <c:v>RAIL</c:v>
                  </c:pt>
                  <c:pt idx="7">
                    <c:v>ROAD</c:v>
                  </c:pt>
                </c:lvl>
                <c:lvl>
                  <c:pt idx="0">
                    <c:v>2024</c:v>
                  </c:pt>
                  <c:pt idx="4">
                    <c:v>2025</c:v>
                  </c:pt>
                </c:lvl>
              </c:multiLvlStrCache>
            </c:multiLvlStrRef>
          </c:cat>
          <c:val>
            <c:numRef>
              <c:f>'Pivot tables+ Analysis'!$H$77:$H$87</c:f>
              <c:numCache>
                <c:formatCode>0</c:formatCode>
                <c:ptCount val="8"/>
                <c:pt idx="0">
                  <c:v>2310</c:v>
                </c:pt>
                <c:pt idx="1">
                  <c:v>80815</c:v>
                </c:pt>
                <c:pt idx="2">
                  <c:v>18550</c:v>
                </c:pt>
                <c:pt idx="3">
                  <c:v>2170</c:v>
                </c:pt>
                <c:pt idx="4">
                  <c:v>2541</c:v>
                </c:pt>
                <c:pt idx="5">
                  <c:v>87427</c:v>
                </c:pt>
                <c:pt idx="6">
                  <c:v>19250</c:v>
                </c:pt>
                <c:pt idx="7">
                  <c:v>2387</c:v>
                </c:pt>
              </c:numCache>
            </c:numRef>
          </c:val>
          <c:extLst>
            <c:ext xmlns:c16="http://schemas.microsoft.com/office/drawing/2014/chart" uri="{C3380CC4-5D6E-409C-BE32-E72D297353CC}">
              <c16:uniqueId val="{00000006-60DD-4408-B61B-3A1785B733EE}"/>
            </c:ext>
          </c:extLst>
        </c:ser>
        <c:ser>
          <c:idx val="7"/>
          <c:order val="7"/>
          <c:tx>
            <c:strRef>
              <c:f>'Pivot tables+ Analysis'!$I$75:$I$76</c:f>
              <c:strCache>
                <c:ptCount val="1"/>
                <c:pt idx="0">
                  <c:v>8</c:v>
                </c:pt>
              </c:strCache>
            </c:strRef>
          </c:tx>
          <c:spPr>
            <a:solidFill>
              <a:schemeClr val="accent2">
                <a:lumMod val="60000"/>
              </a:schemeClr>
            </a:solidFill>
            <a:ln>
              <a:noFill/>
            </a:ln>
            <a:effectLst/>
          </c:spPr>
          <c:invertIfNegative val="0"/>
          <c:cat>
            <c:multiLvlStrRef>
              <c:f>'Pivot tables+ Analysis'!$A$77:$A$87</c:f>
              <c:multiLvlStrCache>
                <c:ptCount val="8"/>
                <c:lvl>
                  <c:pt idx="0">
                    <c:v>Air</c:v>
                  </c:pt>
                  <c:pt idx="1">
                    <c:v>Ocean</c:v>
                  </c:pt>
                  <c:pt idx="2">
                    <c:v>RAIL</c:v>
                  </c:pt>
                  <c:pt idx="3">
                    <c:v>ROAD</c:v>
                  </c:pt>
                  <c:pt idx="4">
                    <c:v>Air</c:v>
                  </c:pt>
                  <c:pt idx="5">
                    <c:v>Ocean</c:v>
                  </c:pt>
                  <c:pt idx="6">
                    <c:v>RAIL</c:v>
                  </c:pt>
                  <c:pt idx="7">
                    <c:v>ROAD</c:v>
                  </c:pt>
                </c:lvl>
                <c:lvl>
                  <c:pt idx="0">
                    <c:v>2024</c:v>
                  </c:pt>
                  <c:pt idx="4">
                    <c:v>2025</c:v>
                  </c:pt>
                </c:lvl>
              </c:multiLvlStrCache>
            </c:multiLvlStrRef>
          </c:cat>
          <c:val>
            <c:numRef>
              <c:f>'Pivot tables+ Analysis'!$I$77:$I$87</c:f>
              <c:numCache>
                <c:formatCode>0</c:formatCode>
                <c:ptCount val="8"/>
                <c:pt idx="0">
                  <c:v>2135</c:v>
                </c:pt>
                <c:pt idx="1">
                  <c:v>78120</c:v>
                </c:pt>
                <c:pt idx="2">
                  <c:v>18480</c:v>
                </c:pt>
                <c:pt idx="3">
                  <c:v>2310</c:v>
                </c:pt>
                <c:pt idx="4">
                  <c:v>2349</c:v>
                </c:pt>
                <c:pt idx="5">
                  <c:v>84497</c:v>
                </c:pt>
                <c:pt idx="6">
                  <c:v>19180</c:v>
                </c:pt>
                <c:pt idx="7">
                  <c:v>2541</c:v>
                </c:pt>
              </c:numCache>
            </c:numRef>
          </c:val>
          <c:extLst>
            <c:ext xmlns:c16="http://schemas.microsoft.com/office/drawing/2014/chart" uri="{C3380CC4-5D6E-409C-BE32-E72D297353CC}">
              <c16:uniqueId val="{00000007-60DD-4408-B61B-3A1785B733EE}"/>
            </c:ext>
          </c:extLst>
        </c:ser>
        <c:ser>
          <c:idx val="8"/>
          <c:order val="8"/>
          <c:tx>
            <c:strRef>
              <c:f>'Pivot tables+ Analysis'!$J$75:$J$76</c:f>
              <c:strCache>
                <c:ptCount val="1"/>
                <c:pt idx="0">
                  <c:v>9</c:v>
                </c:pt>
              </c:strCache>
            </c:strRef>
          </c:tx>
          <c:spPr>
            <a:solidFill>
              <a:schemeClr val="accent3">
                <a:lumMod val="60000"/>
              </a:schemeClr>
            </a:solidFill>
            <a:ln>
              <a:noFill/>
            </a:ln>
            <a:effectLst/>
          </c:spPr>
          <c:invertIfNegative val="0"/>
          <c:cat>
            <c:multiLvlStrRef>
              <c:f>'Pivot tables+ Analysis'!$A$77:$A$87</c:f>
              <c:multiLvlStrCache>
                <c:ptCount val="8"/>
                <c:lvl>
                  <c:pt idx="0">
                    <c:v>Air</c:v>
                  </c:pt>
                  <c:pt idx="1">
                    <c:v>Ocean</c:v>
                  </c:pt>
                  <c:pt idx="2">
                    <c:v>RAIL</c:v>
                  </c:pt>
                  <c:pt idx="3">
                    <c:v>ROAD</c:v>
                  </c:pt>
                  <c:pt idx="4">
                    <c:v>Air</c:v>
                  </c:pt>
                  <c:pt idx="5">
                    <c:v>Ocean</c:v>
                  </c:pt>
                  <c:pt idx="6">
                    <c:v>RAIL</c:v>
                  </c:pt>
                  <c:pt idx="7">
                    <c:v>ROAD</c:v>
                  </c:pt>
                </c:lvl>
                <c:lvl>
                  <c:pt idx="0">
                    <c:v>2024</c:v>
                  </c:pt>
                  <c:pt idx="4">
                    <c:v>2025</c:v>
                  </c:pt>
                </c:lvl>
              </c:multiLvlStrCache>
            </c:multiLvlStrRef>
          </c:cat>
          <c:val>
            <c:numRef>
              <c:f>'Pivot tables+ Analysis'!$J$77:$J$87</c:f>
              <c:numCache>
                <c:formatCode>0</c:formatCode>
                <c:ptCount val="8"/>
                <c:pt idx="0">
                  <c:v>1995</c:v>
                </c:pt>
                <c:pt idx="1">
                  <c:v>81130</c:v>
                </c:pt>
                <c:pt idx="2">
                  <c:v>18200</c:v>
                </c:pt>
                <c:pt idx="3">
                  <c:v>2135</c:v>
                </c:pt>
                <c:pt idx="4">
                  <c:v>2195</c:v>
                </c:pt>
                <c:pt idx="5">
                  <c:v>88123</c:v>
                </c:pt>
                <c:pt idx="6">
                  <c:v>18900</c:v>
                </c:pt>
                <c:pt idx="7">
                  <c:v>2349</c:v>
                </c:pt>
              </c:numCache>
            </c:numRef>
          </c:val>
          <c:extLst>
            <c:ext xmlns:c16="http://schemas.microsoft.com/office/drawing/2014/chart" uri="{C3380CC4-5D6E-409C-BE32-E72D297353CC}">
              <c16:uniqueId val="{00000008-60DD-4408-B61B-3A1785B733EE}"/>
            </c:ext>
          </c:extLst>
        </c:ser>
        <c:ser>
          <c:idx val="9"/>
          <c:order val="9"/>
          <c:tx>
            <c:strRef>
              <c:f>'Pivot tables+ Analysis'!$K$75:$K$76</c:f>
              <c:strCache>
                <c:ptCount val="1"/>
                <c:pt idx="0">
                  <c:v>10</c:v>
                </c:pt>
              </c:strCache>
            </c:strRef>
          </c:tx>
          <c:spPr>
            <a:solidFill>
              <a:schemeClr val="accent4">
                <a:lumMod val="60000"/>
              </a:schemeClr>
            </a:solidFill>
            <a:ln>
              <a:noFill/>
            </a:ln>
            <a:effectLst/>
          </c:spPr>
          <c:invertIfNegative val="0"/>
          <c:cat>
            <c:multiLvlStrRef>
              <c:f>'Pivot tables+ Analysis'!$A$77:$A$87</c:f>
              <c:multiLvlStrCache>
                <c:ptCount val="8"/>
                <c:lvl>
                  <c:pt idx="0">
                    <c:v>Air</c:v>
                  </c:pt>
                  <c:pt idx="1">
                    <c:v>Ocean</c:v>
                  </c:pt>
                  <c:pt idx="2">
                    <c:v>RAIL</c:v>
                  </c:pt>
                  <c:pt idx="3">
                    <c:v>ROAD</c:v>
                  </c:pt>
                  <c:pt idx="4">
                    <c:v>Air</c:v>
                  </c:pt>
                  <c:pt idx="5">
                    <c:v>Ocean</c:v>
                  </c:pt>
                  <c:pt idx="6">
                    <c:v>RAIL</c:v>
                  </c:pt>
                  <c:pt idx="7">
                    <c:v>ROAD</c:v>
                  </c:pt>
                </c:lvl>
                <c:lvl>
                  <c:pt idx="0">
                    <c:v>2024</c:v>
                  </c:pt>
                  <c:pt idx="4">
                    <c:v>2025</c:v>
                  </c:pt>
                </c:lvl>
              </c:multiLvlStrCache>
            </c:multiLvlStrRef>
          </c:cat>
          <c:val>
            <c:numRef>
              <c:f>'Pivot tables+ Analysis'!$K$77:$K$87</c:f>
              <c:numCache>
                <c:formatCode>0</c:formatCode>
                <c:ptCount val="8"/>
                <c:pt idx="0">
                  <c:v>2065</c:v>
                </c:pt>
                <c:pt idx="1">
                  <c:v>83895</c:v>
                </c:pt>
                <c:pt idx="2">
                  <c:v>18130</c:v>
                </c:pt>
                <c:pt idx="3">
                  <c:v>2520</c:v>
                </c:pt>
                <c:pt idx="4">
                  <c:v>2272</c:v>
                </c:pt>
                <c:pt idx="5">
                  <c:v>91200</c:v>
                </c:pt>
                <c:pt idx="6">
                  <c:v>18830</c:v>
                </c:pt>
                <c:pt idx="7">
                  <c:v>2772</c:v>
                </c:pt>
              </c:numCache>
            </c:numRef>
          </c:val>
          <c:extLst>
            <c:ext xmlns:c16="http://schemas.microsoft.com/office/drawing/2014/chart" uri="{C3380CC4-5D6E-409C-BE32-E72D297353CC}">
              <c16:uniqueId val="{00000009-60DD-4408-B61B-3A1785B733EE}"/>
            </c:ext>
          </c:extLst>
        </c:ser>
        <c:ser>
          <c:idx val="10"/>
          <c:order val="10"/>
          <c:tx>
            <c:strRef>
              <c:f>'Pivot tables+ Analysis'!$L$75:$L$76</c:f>
              <c:strCache>
                <c:ptCount val="1"/>
                <c:pt idx="0">
                  <c:v>11</c:v>
                </c:pt>
              </c:strCache>
            </c:strRef>
          </c:tx>
          <c:spPr>
            <a:solidFill>
              <a:schemeClr val="accent5">
                <a:lumMod val="60000"/>
              </a:schemeClr>
            </a:solidFill>
            <a:ln>
              <a:noFill/>
            </a:ln>
            <a:effectLst/>
          </c:spPr>
          <c:invertIfNegative val="0"/>
          <c:cat>
            <c:multiLvlStrRef>
              <c:f>'Pivot tables+ Analysis'!$A$77:$A$87</c:f>
              <c:multiLvlStrCache>
                <c:ptCount val="8"/>
                <c:lvl>
                  <c:pt idx="0">
                    <c:v>Air</c:v>
                  </c:pt>
                  <c:pt idx="1">
                    <c:v>Ocean</c:v>
                  </c:pt>
                  <c:pt idx="2">
                    <c:v>RAIL</c:v>
                  </c:pt>
                  <c:pt idx="3">
                    <c:v>ROAD</c:v>
                  </c:pt>
                  <c:pt idx="4">
                    <c:v>Air</c:v>
                  </c:pt>
                  <c:pt idx="5">
                    <c:v>Ocean</c:v>
                  </c:pt>
                  <c:pt idx="6">
                    <c:v>RAIL</c:v>
                  </c:pt>
                  <c:pt idx="7">
                    <c:v>ROAD</c:v>
                  </c:pt>
                </c:lvl>
                <c:lvl>
                  <c:pt idx="0">
                    <c:v>2024</c:v>
                  </c:pt>
                  <c:pt idx="4">
                    <c:v>2025</c:v>
                  </c:pt>
                </c:lvl>
              </c:multiLvlStrCache>
            </c:multiLvlStrRef>
          </c:cat>
          <c:val>
            <c:numRef>
              <c:f>'Pivot tables+ Analysis'!$L$77:$L$87</c:f>
              <c:numCache>
                <c:formatCode>0</c:formatCode>
                <c:ptCount val="8"/>
                <c:pt idx="0">
                  <c:v>2380</c:v>
                </c:pt>
                <c:pt idx="1">
                  <c:v>80535</c:v>
                </c:pt>
                <c:pt idx="2">
                  <c:v>18025</c:v>
                </c:pt>
                <c:pt idx="3">
                  <c:v>2450</c:v>
                </c:pt>
                <c:pt idx="4">
                  <c:v>2618</c:v>
                </c:pt>
                <c:pt idx="5">
                  <c:v>87539</c:v>
                </c:pt>
                <c:pt idx="6">
                  <c:v>18725</c:v>
                </c:pt>
                <c:pt idx="7">
                  <c:v>2695</c:v>
                </c:pt>
              </c:numCache>
            </c:numRef>
          </c:val>
          <c:extLst>
            <c:ext xmlns:c16="http://schemas.microsoft.com/office/drawing/2014/chart" uri="{C3380CC4-5D6E-409C-BE32-E72D297353CC}">
              <c16:uniqueId val="{0000000A-60DD-4408-B61B-3A1785B733EE}"/>
            </c:ext>
          </c:extLst>
        </c:ser>
        <c:ser>
          <c:idx val="11"/>
          <c:order val="11"/>
          <c:tx>
            <c:strRef>
              <c:f>'Pivot tables+ Analysis'!$M$75:$M$76</c:f>
              <c:strCache>
                <c:ptCount val="1"/>
                <c:pt idx="0">
                  <c:v>12</c:v>
                </c:pt>
              </c:strCache>
            </c:strRef>
          </c:tx>
          <c:spPr>
            <a:solidFill>
              <a:schemeClr val="accent6">
                <a:lumMod val="60000"/>
              </a:schemeClr>
            </a:solidFill>
            <a:ln>
              <a:noFill/>
            </a:ln>
            <a:effectLst/>
          </c:spPr>
          <c:invertIfNegative val="0"/>
          <c:cat>
            <c:multiLvlStrRef>
              <c:f>'Pivot tables+ Analysis'!$A$77:$A$87</c:f>
              <c:multiLvlStrCache>
                <c:ptCount val="8"/>
                <c:lvl>
                  <c:pt idx="0">
                    <c:v>Air</c:v>
                  </c:pt>
                  <c:pt idx="1">
                    <c:v>Ocean</c:v>
                  </c:pt>
                  <c:pt idx="2">
                    <c:v>RAIL</c:v>
                  </c:pt>
                  <c:pt idx="3">
                    <c:v>ROAD</c:v>
                  </c:pt>
                  <c:pt idx="4">
                    <c:v>Air</c:v>
                  </c:pt>
                  <c:pt idx="5">
                    <c:v>Ocean</c:v>
                  </c:pt>
                  <c:pt idx="6">
                    <c:v>RAIL</c:v>
                  </c:pt>
                  <c:pt idx="7">
                    <c:v>ROAD</c:v>
                  </c:pt>
                </c:lvl>
                <c:lvl>
                  <c:pt idx="0">
                    <c:v>2024</c:v>
                  </c:pt>
                  <c:pt idx="4">
                    <c:v>2025</c:v>
                  </c:pt>
                </c:lvl>
              </c:multiLvlStrCache>
            </c:multiLvlStrRef>
          </c:cat>
          <c:val>
            <c:numRef>
              <c:f>'Pivot tables+ Analysis'!$M$77:$M$87</c:f>
              <c:numCache>
                <c:formatCode>0</c:formatCode>
                <c:ptCount val="8"/>
                <c:pt idx="0">
                  <c:v>2100</c:v>
                </c:pt>
                <c:pt idx="1">
                  <c:v>74270</c:v>
                </c:pt>
                <c:pt idx="2">
                  <c:v>36750</c:v>
                </c:pt>
                <c:pt idx="3">
                  <c:v>2275</c:v>
                </c:pt>
                <c:pt idx="4">
                  <c:v>2310</c:v>
                </c:pt>
                <c:pt idx="5">
                  <c:v>80437</c:v>
                </c:pt>
                <c:pt idx="6">
                  <c:v>19075</c:v>
                </c:pt>
                <c:pt idx="7">
                  <c:v>2503</c:v>
                </c:pt>
              </c:numCache>
            </c:numRef>
          </c:val>
          <c:extLst>
            <c:ext xmlns:c16="http://schemas.microsoft.com/office/drawing/2014/chart" uri="{C3380CC4-5D6E-409C-BE32-E72D297353CC}">
              <c16:uniqueId val="{0000000B-60DD-4408-B61B-3A1785B733EE}"/>
            </c:ext>
          </c:extLst>
        </c:ser>
        <c:dLbls>
          <c:showLegendKey val="0"/>
          <c:showVal val="0"/>
          <c:showCatName val="0"/>
          <c:showSerName val="0"/>
          <c:showPercent val="0"/>
          <c:showBubbleSize val="0"/>
        </c:dLbls>
        <c:gapWidth val="219"/>
        <c:overlap val="-27"/>
        <c:axId val="1110710736"/>
        <c:axId val="1110718416"/>
      </c:barChart>
      <c:catAx>
        <c:axId val="111071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110718416"/>
        <c:crosses val="autoZero"/>
        <c:auto val="1"/>
        <c:lblAlgn val="ctr"/>
        <c:lblOffset val="100"/>
        <c:noMultiLvlLbl val="0"/>
      </c:catAx>
      <c:valAx>
        <c:axId val="11107184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11071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Sales Overview 2024-2025.xlsx]Pivot tables+ Analysis!Tabela przestawna1</c:name>
    <c:fmtId val="3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Analysis'!$B$90:$B$91</c:f>
              <c:strCache>
                <c:ptCount val="1"/>
                <c:pt idx="0">
                  <c:v>1</c:v>
                </c:pt>
              </c:strCache>
            </c:strRef>
          </c:tx>
          <c:spPr>
            <a:solidFill>
              <a:schemeClr val="accent1"/>
            </a:solidFill>
            <a:ln>
              <a:noFill/>
            </a:ln>
            <a:effectLst/>
          </c:spPr>
          <c:invertIfNegative val="0"/>
          <c:cat>
            <c:multiLvlStrRef>
              <c:f>'Pivot tables+ Analysis'!$A$92:$A$104</c:f>
              <c:multiLvlStrCache>
                <c:ptCount val="10"/>
                <c:lvl>
                  <c:pt idx="0">
                    <c:v>Airfreight</c:v>
                  </c:pt>
                  <c:pt idx="1">
                    <c:v>FCL</c:v>
                  </c:pt>
                  <c:pt idx="2">
                    <c:v>International</c:v>
                  </c:pt>
                  <c:pt idx="3">
                    <c:v>LCL</c:v>
                  </c:pt>
                  <c:pt idx="4">
                    <c:v>RAIL</c:v>
                  </c:pt>
                  <c:pt idx="5">
                    <c:v>Airfreight</c:v>
                  </c:pt>
                  <c:pt idx="6">
                    <c:v>FCL</c:v>
                  </c:pt>
                  <c:pt idx="7">
                    <c:v>International</c:v>
                  </c:pt>
                  <c:pt idx="8">
                    <c:v>LCL</c:v>
                  </c:pt>
                  <c:pt idx="9">
                    <c:v>RAIL</c:v>
                  </c:pt>
                </c:lvl>
                <c:lvl>
                  <c:pt idx="0">
                    <c:v>2024</c:v>
                  </c:pt>
                  <c:pt idx="5">
                    <c:v>2025</c:v>
                  </c:pt>
                </c:lvl>
              </c:multiLvlStrCache>
            </c:multiLvlStrRef>
          </c:cat>
          <c:val>
            <c:numRef>
              <c:f>'Pivot tables+ Analysis'!$B$92:$B$104</c:f>
              <c:numCache>
                <c:formatCode>0</c:formatCode>
                <c:ptCount val="10"/>
                <c:pt idx="0">
                  <c:v>2100</c:v>
                </c:pt>
                <c:pt idx="1">
                  <c:v>43435</c:v>
                </c:pt>
                <c:pt idx="2">
                  <c:v>1960</c:v>
                </c:pt>
                <c:pt idx="3">
                  <c:v>28700</c:v>
                </c:pt>
                <c:pt idx="4">
                  <c:v>18200</c:v>
                </c:pt>
                <c:pt idx="5">
                  <c:v>2310</c:v>
                </c:pt>
                <c:pt idx="6">
                  <c:v>47779</c:v>
                </c:pt>
                <c:pt idx="7">
                  <c:v>2156</c:v>
                </c:pt>
                <c:pt idx="8">
                  <c:v>30100</c:v>
                </c:pt>
                <c:pt idx="9">
                  <c:v>18900</c:v>
                </c:pt>
              </c:numCache>
            </c:numRef>
          </c:val>
          <c:extLst>
            <c:ext xmlns:c16="http://schemas.microsoft.com/office/drawing/2014/chart" uri="{C3380CC4-5D6E-409C-BE32-E72D297353CC}">
              <c16:uniqueId val="{00000000-E0B6-42DD-B779-E8C4397BB277}"/>
            </c:ext>
          </c:extLst>
        </c:ser>
        <c:ser>
          <c:idx val="1"/>
          <c:order val="1"/>
          <c:tx>
            <c:strRef>
              <c:f>'Pivot tables+ Analysis'!$C$90:$C$91</c:f>
              <c:strCache>
                <c:ptCount val="1"/>
                <c:pt idx="0">
                  <c:v>2</c:v>
                </c:pt>
              </c:strCache>
            </c:strRef>
          </c:tx>
          <c:spPr>
            <a:solidFill>
              <a:schemeClr val="accent2"/>
            </a:solidFill>
            <a:ln>
              <a:noFill/>
            </a:ln>
            <a:effectLst/>
          </c:spPr>
          <c:invertIfNegative val="0"/>
          <c:cat>
            <c:multiLvlStrRef>
              <c:f>'Pivot tables+ Analysis'!$A$92:$A$104</c:f>
              <c:multiLvlStrCache>
                <c:ptCount val="10"/>
                <c:lvl>
                  <c:pt idx="0">
                    <c:v>Airfreight</c:v>
                  </c:pt>
                  <c:pt idx="1">
                    <c:v>FCL</c:v>
                  </c:pt>
                  <c:pt idx="2">
                    <c:v>International</c:v>
                  </c:pt>
                  <c:pt idx="3">
                    <c:v>LCL</c:v>
                  </c:pt>
                  <c:pt idx="4">
                    <c:v>RAIL</c:v>
                  </c:pt>
                  <c:pt idx="5">
                    <c:v>Airfreight</c:v>
                  </c:pt>
                  <c:pt idx="6">
                    <c:v>FCL</c:v>
                  </c:pt>
                  <c:pt idx="7">
                    <c:v>International</c:v>
                  </c:pt>
                  <c:pt idx="8">
                    <c:v>LCL</c:v>
                  </c:pt>
                  <c:pt idx="9">
                    <c:v>RAIL</c:v>
                  </c:pt>
                </c:lvl>
                <c:lvl>
                  <c:pt idx="0">
                    <c:v>2024</c:v>
                  </c:pt>
                  <c:pt idx="5">
                    <c:v>2025</c:v>
                  </c:pt>
                </c:lvl>
              </c:multiLvlStrCache>
            </c:multiLvlStrRef>
          </c:cat>
          <c:val>
            <c:numRef>
              <c:f>'Pivot tables+ Analysis'!$C$92:$C$104</c:f>
              <c:numCache>
                <c:formatCode>0</c:formatCode>
                <c:ptCount val="10"/>
                <c:pt idx="0">
                  <c:v>1925</c:v>
                </c:pt>
                <c:pt idx="1">
                  <c:v>47320</c:v>
                </c:pt>
                <c:pt idx="2">
                  <c:v>2695</c:v>
                </c:pt>
                <c:pt idx="3">
                  <c:v>28000</c:v>
                </c:pt>
                <c:pt idx="4">
                  <c:v>17850</c:v>
                </c:pt>
                <c:pt idx="5">
                  <c:v>2118</c:v>
                </c:pt>
                <c:pt idx="6">
                  <c:v>52052</c:v>
                </c:pt>
                <c:pt idx="7">
                  <c:v>2965</c:v>
                </c:pt>
                <c:pt idx="8">
                  <c:v>29400</c:v>
                </c:pt>
                <c:pt idx="9">
                  <c:v>18725</c:v>
                </c:pt>
              </c:numCache>
            </c:numRef>
          </c:val>
          <c:extLst>
            <c:ext xmlns:c16="http://schemas.microsoft.com/office/drawing/2014/chart" uri="{C3380CC4-5D6E-409C-BE32-E72D297353CC}">
              <c16:uniqueId val="{00000001-E0B6-42DD-B779-E8C4397BB277}"/>
            </c:ext>
          </c:extLst>
        </c:ser>
        <c:ser>
          <c:idx val="2"/>
          <c:order val="2"/>
          <c:tx>
            <c:strRef>
              <c:f>'Pivot tables+ Analysis'!$D$90:$D$91</c:f>
              <c:strCache>
                <c:ptCount val="1"/>
                <c:pt idx="0">
                  <c:v>3</c:v>
                </c:pt>
              </c:strCache>
            </c:strRef>
          </c:tx>
          <c:spPr>
            <a:solidFill>
              <a:schemeClr val="accent3"/>
            </a:solidFill>
            <a:ln>
              <a:noFill/>
            </a:ln>
            <a:effectLst/>
          </c:spPr>
          <c:invertIfNegative val="0"/>
          <c:cat>
            <c:multiLvlStrRef>
              <c:f>'Pivot tables+ Analysis'!$A$92:$A$104</c:f>
              <c:multiLvlStrCache>
                <c:ptCount val="10"/>
                <c:lvl>
                  <c:pt idx="0">
                    <c:v>Airfreight</c:v>
                  </c:pt>
                  <c:pt idx="1">
                    <c:v>FCL</c:v>
                  </c:pt>
                  <c:pt idx="2">
                    <c:v>International</c:v>
                  </c:pt>
                  <c:pt idx="3">
                    <c:v>LCL</c:v>
                  </c:pt>
                  <c:pt idx="4">
                    <c:v>RAIL</c:v>
                  </c:pt>
                  <c:pt idx="5">
                    <c:v>Airfreight</c:v>
                  </c:pt>
                  <c:pt idx="6">
                    <c:v>FCL</c:v>
                  </c:pt>
                  <c:pt idx="7">
                    <c:v>International</c:v>
                  </c:pt>
                  <c:pt idx="8">
                    <c:v>LCL</c:v>
                  </c:pt>
                  <c:pt idx="9">
                    <c:v>RAIL</c:v>
                  </c:pt>
                </c:lvl>
                <c:lvl>
                  <c:pt idx="0">
                    <c:v>2024</c:v>
                  </c:pt>
                  <c:pt idx="5">
                    <c:v>2025</c:v>
                  </c:pt>
                </c:lvl>
              </c:multiLvlStrCache>
            </c:multiLvlStrRef>
          </c:cat>
          <c:val>
            <c:numRef>
              <c:f>'Pivot tables+ Analysis'!$D$92:$D$104</c:f>
              <c:numCache>
                <c:formatCode>0</c:formatCode>
                <c:ptCount val="10"/>
                <c:pt idx="0">
                  <c:v>1645</c:v>
                </c:pt>
                <c:pt idx="1">
                  <c:v>47810</c:v>
                </c:pt>
                <c:pt idx="2">
                  <c:v>2415</c:v>
                </c:pt>
                <c:pt idx="3">
                  <c:v>23450</c:v>
                </c:pt>
                <c:pt idx="4">
                  <c:v>17500</c:v>
                </c:pt>
                <c:pt idx="5">
                  <c:v>1810</c:v>
                </c:pt>
                <c:pt idx="6">
                  <c:v>52591</c:v>
                </c:pt>
                <c:pt idx="7">
                  <c:v>2657</c:v>
                </c:pt>
                <c:pt idx="8">
                  <c:v>24850</c:v>
                </c:pt>
                <c:pt idx="9">
                  <c:v>18375</c:v>
                </c:pt>
              </c:numCache>
            </c:numRef>
          </c:val>
          <c:extLst>
            <c:ext xmlns:c16="http://schemas.microsoft.com/office/drawing/2014/chart" uri="{C3380CC4-5D6E-409C-BE32-E72D297353CC}">
              <c16:uniqueId val="{00000002-E0B6-42DD-B779-E8C4397BB277}"/>
            </c:ext>
          </c:extLst>
        </c:ser>
        <c:ser>
          <c:idx val="3"/>
          <c:order val="3"/>
          <c:tx>
            <c:strRef>
              <c:f>'Pivot tables+ Analysis'!$E$90:$E$91</c:f>
              <c:strCache>
                <c:ptCount val="1"/>
                <c:pt idx="0">
                  <c:v>4</c:v>
                </c:pt>
              </c:strCache>
            </c:strRef>
          </c:tx>
          <c:spPr>
            <a:solidFill>
              <a:schemeClr val="accent4"/>
            </a:solidFill>
            <a:ln>
              <a:noFill/>
            </a:ln>
            <a:effectLst/>
          </c:spPr>
          <c:invertIfNegative val="0"/>
          <c:cat>
            <c:multiLvlStrRef>
              <c:f>'Pivot tables+ Analysis'!$A$92:$A$104</c:f>
              <c:multiLvlStrCache>
                <c:ptCount val="10"/>
                <c:lvl>
                  <c:pt idx="0">
                    <c:v>Airfreight</c:v>
                  </c:pt>
                  <c:pt idx="1">
                    <c:v>FCL</c:v>
                  </c:pt>
                  <c:pt idx="2">
                    <c:v>International</c:v>
                  </c:pt>
                  <c:pt idx="3">
                    <c:v>LCL</c:v>
                  </c:pt>
                  <c:pt idx="4">
                    <c:v>RAIL</c:v>
                  </c:pt>
                  <c:pt idx="5">
                    <c:v>Airfreight</c:v>
                  </c:pt>
                  <c:pt idx="6">
                    <c:v>FCL</c:v>
                  </c:pt>
                  <c:pt idx="7">
                    <c:v>International</c:v>
                  </c:pt>
                  <c:pt idx="8">
                    <c:v>LCL</c:v>
                  </c:pt>
                  <c:pt idx="9">
                    <c:v>RAIL</c:v>
                  </c:pt>
                </c:lvl>
                <c:lvl>
                  <c:pt idx="0">
                    <c:v>2024</c:v>
                  </c:pt>
                  <c:pt idx="5">
                    <c:v>2025</c:v>
                  </c:pt>
                </c:lvl>
              </c:multiLvlStrCache>
            </c:multiLvlStrRef>
          </c:cat>
          <c:val>
            <c:numRef>
              <c:f>'Pivot tables+ Analysis'!$E$92:$E$104</c:f>
              <c:numCache>
                <c:formatCode>0</c:formatCode>
                <c:ptCount val="10"/>
                <c:pt idx="0">
                  <c:v>2065</c:v>
                </c:pt>
                <c:pt idx="1">
                  <c:v>42000</c:v>
                </c:pt>
                <c:pt idx="2">
                  <c:v>2485</c:v>
                </c:pt>
                <c:pt idx="3">
                  <c:v>46200</c:v>
                </c:pt>
                <c:pt idx="4">
                  <c:v>17675</c:v>
                </c:pt>
                <c:pt idx="5">
                  <c:v>2272</c:v>
                </c:pt>
                <c:pt idx="6">
                  <c:v>46200</c:v>
                </c:pt>
                <c:pt idx="7">
                  <c:v>2734</c:v>
                </c:pt>
                <c:pt idx="8">
                  <c:v>24500</c:v>
                </c:pt>
                <c:pt idx="9">
                  <c:v>18550</c:v>
                </c:pt>
              </c:numCache>
            </c:numRef>
          </c:val>
          <c:extLst>
            <c:ext xmlns:c16="http://schemas.microsoft.com/office/drawing/2014/chart" uri="{C3380CC4-5D6E-409C-BE32-E72D297353CC}">
              <c16:uniqueId val="{00000003-E0B6-42DD-B779-E8C4397BB277}"/>
            </c:ext>
          </c:extLst>
        </c:ser>
        <c:ser>
          <c:idx val="4"/>
          <c:order val="4"/>
          <c:tx>
            <c:strRef>
              <c:f>'Pivot tables+ Analysis'!$F$90:$F$91</c:f>
              <c:strCache>
                <c:ptCount val="1"/>
                <c:pt idx="0">
                  <c:v>5</c:v>
                </c:pt>
              </c:strCache>
            </c:strRef>
          </c:tx>
          <c:spPr>
            <a:solidFill>
              <a:schemeClr val="accent5"/>
            </a:solidFill>
            <a:ln>
              <a:noFill/>
            </a:ln>
            <a:effectLst/>
          </c:spPr>
          <c:invertIfNegative val="0"/>
          <c:cat>
            <c:multiLvlStrRef>
              <c:f>'Pivot tables+ Analysis'!$A$92:$A$104</c:f>
              <c:multiLvlStrCache>
                <c:ptCount val="10"/>
                <c:lvl>
                  <c:pt idx="0">
                    <c:v>Airfreight</c:v>
                  </c:pt>
                  <c:pt idx="1">
                    <c:v>FCL</c:v>
                  </c:pt>
                  <c:pt idx="2">
                    <c:v>International</c:v>
                  </c:pt>
                  <c:pt idx="3">
                    <c:v>LCL</c:v>
                  </c:pt>
                  <c:pt idx="4">
                    <c:v>RAIL</c:v>
                  </c:pt>
                  <c:pt idx="5">
                    <c:v>Airfreight</c:v>
                  </c:pt>
                  <c:pt idx="6">
                    <c:v>FCL</c:v>
                  </c:pt>
                  <c:pt idx="7">
                    <c:v>International</c:v>
                  </c:pt>
                  <c:pt idx="8">
                    <c:v>LCL</c:v>
                  </c:pt>
                  <c:pt idx="9">
                    <c:v>RAIL</c:v>
                  </c:pt>
                </c:lvl>
                <c:lvl>
                  <c:pt idx="0">
                    <c:v>2024</c:v>
                  </c:pt>
                  <c:pt idx="5">
                    <c:v>2025</c:v>
                  </c:pt>
                </c:lvl>
              </c:multiLvlStrCache>
            </c:multiLvlStrRef>
          </c:cat>
          <c:val>
            <c:numRef>
              <c:f>'Pivot tables+ Analysis'!$F$92:$F$104</c:f>
              <c:numCache>
                <c:formatCode>0</c:formatCode>
                <c:ptCount val="10"/>
                <c:pt idx="0">
                  <c:v>1785</c:v>
                </c:pt>
                <c:pt idx="1">
                  <c:v>35840</c:v>
                </c:pt>
                <c:pt idx="2">
                  <c:v>2555</c:v>
                </c:pt>
                <c:pt idx="3">
                  <c:v>24150</c:v>
                </c:pt>
                <c:pt idx="4">
                  <c:v>18025</c:v>
                </c:pt>
                <c:pt idx="5">
                  <c:v>1964</c:v>
                </c:pt>
                <c:pt idx="6">
                  <c:v>39424</c:v>
                </c:pt>
                <c:pt idx="7">
                  <c:v>2811</c:v>
                </c:pt>
                <c:pt idx="8">
                  <c:v>25550</c:v>
                </c:pt>
                <c:pt idx="9">
                  <c:v>18725</c:v>
                </c:pt>
              </c:numCache>
            </c:numRef>
          </c:val>
          <c:extLst>
            <c:ext xmlns:c16="http://schemas.microsoft.com/office/drawing/2014/chart" uri="{C3380CC4-5D6E-409C-BE32-E72D297353CC}">
              <c16:uniqueId val="{00000004-E0B6-42DD-B779-E8C4397BB277}"/>
            </c:ext>
          </c:extLst>
        </c:ser>
        <c:ser>
          <c:idx val="5"/>
          <c:order val="5"/>
          <c:tx>
            <c:strRef>
              <c:f>'Pivot tables+ Analysis'!$G$90:$G$91</c:f>
              <c:strCache>
                <c:ptCount val="1"/>
                <c:pt idx="0">
                  <c:v>6</c:v>
                </c:pt>
              </c:strCache>
            </c:strRef>
          </c:tx>
          <c:spPr>
            <a:solidFill>
              <a:schemeClr val="accent6"/>
            </a:solidFill>
            <a:ln>
              <a:noFill/>
            </a:ln>
            <a:effectLst/>
          </c:spPr>
          <c:invertIfNegative val="0"/>
          <c:cat>
            <c:multiLvlStrRef>
              <c:f>'Pivot tables+ Analysis'!$A$92:$A$104</c:f>
              <c:multiLvlStrCache>
                <c:ptCount val="10"/>
                <c:lvl>
                  <c:pt idx="0">
                    <c:v>Airfreight</c:v>
                  </c:pt>
                  <c:pt idx="1">
                    <c:v>FCL</c:v>
                  </c:pt>
                  <c:pt idx="2">
                    <c:v>International</c:v>
                  </c:pt>
                  <c:pt idx="3">
                    <c:v>LCL</c:v>
                  </c:pt>
                  <c:pt idx="4">
                    <c:v>RAIL</c:v>
                  </c:pt>
                  <c:pt idx="5">
                    <c:v>Airfreight</c:v>
                  </c:pt>
                  <c:pt idx="6">
                    <c:v>FCL</c:v>
                  </c:pt>
                  <c:pt idx="7">
                    <c:v>International</c:v>
                  </c:pt>
                  <c:pt idx="8">
                    <c:v>LCL</c:v>
                  </c:pt>
                  <c:pt idx="9">
                    <c:v>RAIL</c:v>
                  </c:pt>
                </c:lvl>
                <c:lvl>
                  <c:pt idx="0">
                    <c:v>2024</c:v>
                  </c:pt>
                  <c:pt idx="5">
                    <c:v>2025</c:v>
                  </c:pt>
                </c:lvl>
              </c:multiLvlStrCache>
            </c:multiLvlStrRef>
          </c:cat>
          <c:val>
            <c:numRef>
              <c:f>'Pivot tables+ Analysis'!$G$92:$G$104</c:f>
              <c:numCache>
                <c:formatCode>0</c:formatCode>
                <c:ptCount val="10"/>
                <c:pt idx="0">
                  <c:v>2205</c:v>
                </c:pt>
                <c:pt idx="1">
                  <c:v>43960</c:v>
                </c:pt>
                <c:pt idx="2">
                  <c:v>1925</c:v>
                </c:pt>
                <c:pt idx="3">
                  <c:v>30800</c:v>
                </c:pt>
                <c:pt idx="4">
                  <c:v>18375</c:v>
                </c:pt>
                <c:pt idx="5">
                  <c:v>2426</c:v>
                </c:pt>
                <c:pt idx="6">
                  <c:v>48356</c:v>
                </c:pt>
                <c:pt idx="7">
                  <c:v>2118</c:v>
                </c:pt>
                <c:pt idx="8">
                  <c:v>32550</c:v>
                </c:pt>
                <c:pt idx="9">
                  <c:v>19075</c:v>
                </c:pt>
              </c:numCache>
            </c:numRef>
          </c:val>
          <c:extLst>
            <c:ext xmlns:c16="http://schemas.microsoft.com/office/drawing/2014/chart" uri="{C3380CC4-5D6E-409C-BE32-E72D297353CC}">
              <c16:uniqueId val="{00000005-E0B6-42DD-B779-E8C4397BB277}"/>
            </c:ext>
          </c:extLst>
        </c:ser>
        <c:ser>
          <c:idx val="6"/>
          <c:order val="6"/>
          <c:tx>
            <c:strRef>
              <c:f>'Pivot tables+ Analysis'!$H$90:$H$91</c:f>
              <c:strCache>
                <c:ptCount val="1"/>
                <c:pt idx="0">
                  <c:v>7</c:v>
                </c:pt>
              </c:strCache>
            </c:strRef>
          </c:tx>
          <c:spPr>
            <a:solidFill>
              <a:schemeClr val="accent1">
                <a:lumMod val="60000"/>
              </a:schemeClr>
            </a:solidFill>
            <a:ln>
              <a:noFill/>
            </a:ln>
            <a:effectLst/>
          </c:spPr>
          <c:invertIfNegative val="0"/>
          <c:cat>
            <c:multiLvlStrRef>
              <c:f>'Pivot tables+ Analysis'!$A$92:$A$104</c:f>
              <c:multiLvlStrCache>
                <c:ptCount val="10"/>
                <c:lvl>
                  <c:pt idx="0">
                    <c:v>Airfreight</c:v>
                  </c:pt>
                  <c:pt idx="1">
                    <c:v>FCL</c:v>
                  </c:pt>
                  <c:pt idx="2">
                    <c:v>International</c:v>
                  </c:pt>
                  <c:pt idx="3">
                    <c:v>LCL</c:v>
                  </c:pt>
                  <c:pt idx="4">
                    <c:v>RAIL</c:v>
                  </c:pt>
                  <c:pt idx="5">
                    <c:v>Airfreight</c:v>
                  </c:pt>
                  <c:pt idx="6">
                    <c:v>FCL</c:v>
                  </c:pt>
                  <c:pt idx="7">
                    <c:v>International</c:v>
                  </c:pt>
                  <c:pt idx="8">
                    <c:v>LCL</c:v>
                  </c:pt>
                  <c:pt idx="9">
                    <c:v>RAIL</c:v>
                  </c:pt>
                </c:lvl>
                <c:lvl>
                  <c:pt idx="0">
                    <c:v>2024</c:v>
                  </c:pt>
                  <c:pt idx="5">
                    <c:v>2025</c:v>
                  </c:pt>
                </c:lvl>
              </c:multiLvlStrCache>
            </c:multiLvlStrRef>
          </c:cat>
          <c:val>
            <c:numRef>
              <c:f>'Pivot tables+ Analysis'!$H$92:$H$104</c:f>
              <c:numCache>
                <c:formatCode>0</c:formatCode>
                <c:ptCount val="10"/>
                <c:pt idx="0">
                  <c:v>2310</c:v>
                </c:pt>
                <c:pt idx="1">
                  <c:v>48615</c:v>
                </c:pt>
                <c:pt idx="2">
                  <c:v>2170</c:v>
                </c:pt>
                <c:pt idx="3">
                  <c:v>32200</c:v>
                </c:pt>
                <c:pt idx="4">
                  <c:v>18550</c:v>
                </c:pt>
                <c:pt idx="5">
                  <c:v>2541</c:v>
                </c:pt>
                <c:pt idx="6">
                  <c:v>53477</c:v>
                </c:pt>
                <c:pt idx="7">
                  <c:v>2387</c:v>
                </c:pt>
                <c:pt idx="8">
                  <c:v>33950</c:v>
                </c:pt>
                <c:pt idx="9">
                  <c:v>19250</c:v>
                </c:pt>
              </c:numCache>
            </c:numRef>
          </c:val>
          <c:extLst>
            <c:ext xmlns:c16="http://schemas.microsoft.com/office/drawing/2014/chart" uri="{C3380CC4-5D6E-409C-BE32-E72D297353CC}">
              <c16:uniqueId val="{00000006-E0B6-42DD-B779-E8C4397BB277}"/>
            </c:ext>
          </c:extLst>
        </c:ser>
        <c:ser>
          <c:idx val="7"/>
          <c:order val="7"/>
          <c:tx>
            <c:strRef>
              <c:f>'Pivot tables+ Analysis'!$I$90:$I$91</c:f>
              <c:strCache>
                <c:ptCount val="1"/>
                <c:pt idx="0">
                  <c:v>8</c:v>
                </c:pt>
              </c:strCache>
            </c:strRef>
          </c:tx>
          <c:spPr>
            <a:solidFill>
              <a:schemeClr val="accent2">
                <a:lumMod val="60000"/>
              </a:schemeClr>
            </a:solidFill>
            <a:ln>
              <a:noFill/>
            </a:ln>
            <a:effectLst/>
          </c:spPr>
          <c:invertIfNegative val="0"/>
          <c:cat>
            <c:multiLvlStrRef>
              <c:f>'Pivot tables+ Analysis'!$A$92:$A$104</c:f>
              <c:multiLvlStrCache>
                <c:ptCount val="10"/>
                <c:lvl>
                  <c:pt idx="0">
                    <c:v>Airfreight</c:v>
                  </c:pt>
                  <c:pt idx="1">
                    <c:v>FCL</c:v>
                  </c:pt>
                  <c:pt idx="2">
                    <c:v>International</c:v>
                  </c:pt>
                  <c:pt idx="3">
                    <c:v>LCL</c:v>
                  </c:pt>
                  <c:pt idx="4">
                    <c:v>RAIL</c:v>
                  </c:pt>
                  <c:pt idx="5">
                    <c:v>Airfreight</c:v>
                  </c:pt>
                  <c:pt idx="6">
                    <c:v>FCL</c:v>
                  </c:pt>
                  <c:pt idx="7">
                    <c:v>International</c:v>
                  </c:pt>
                  <c:pt idx="8">
                    <c:v>LCL</c:v>
                  </c:pt>
                  <c:pt idx="9">
                    <c:v>RAIL</c:v>
                  </c:pt>
                </c:lvl>
                <c:lvl>
                  <c:pt idx="0">
                    <c:v>2024</c:v>
                  </c:pt>
                  <c:pt idx="5">
                    <c:v>2025</c:v>
                  </c:pt>
                </c:lvl>
              </c:multiLvlStrCache>
            </c:multiLvlStrRef>
          </c:cat>
          <c:val>
            <c:numRef>
              <c:f>'Pivot tables+ Analysis'!$I$92:$I$104</c:f>
              <c:numCache>
                <c:formatCode>0</c:formatCode>
                <c:ptCount val="10"/>
                <c:pt idx="0">
                  <c:v>2135</c:v>
                </c:pt>
                <c:pt idx="1">
                  <c:v>46270</c:v>
                </c:pt>
                <c:pt idx="2">
                  <c:v>2310</c:v>
                </c:pt>
                <c:pt idx="3">
                  <c:v>31850</c:v>
                </c:pt>
                <c:pt idx="4">
                  <c:v>18480</c:v>
                </c:pt>
                <c:pt idx="5">
                  <c:v>2349</c:v>
                </c:pt>
                <c:pt idx="6">
                  <c:v>50897</c:v>
                </c:pt>
                <c:pt idx="7">
                  <c:v>2541</c:v>
                </c:pt>
                <c:pt idx="8">
                  <c:v>33600</c:v>
                </c:pt>
                <c:pt idx="9">
                  <c:v>19180</c:v>
                </c:pt>
              </c:numCache>
            </c:numRef>
          </c:val>
          <c:extLst>
            <c:ext xmlns:c16="http://schemas.microsoft.com/office/drawing/2014/chart" uri="{C3380CC4-5D6E-409C-BE32-E72D297353CC}">
              <c16:uniqueId val="{00000007-E0B6-42DD-B779-E8C4397BB277}"/>
            </c:ext>
          </c:extLst>
        </c:ser>
        <c:ser>
          <c:idx val="8"/>
          <c:order val="8"/>
          <c:tx>
            <c:strRef>
              <c:f>'Pivot tables+ Analysis'!$J$90:$J$91</c:f>
              <c:strCache>
                <c:ptCount val="1"/>
                <c:pt idx="0">
                  <c:v>9</c:v>
                </c:pt>
              </c:strCache>
            </c:strRef>
          </c:tx>
          <c:spPr>
            <a:solidFill>
              <a:schemeClr val="accent3">
                <a:lumMod val="60000"/>
              </a:schemeClr>
            </a:solidFill>
            <a:ln>
              <a:noFill/>
            </a:ln>
            <a:effectLst/>
          </c:spPr>
          <c:invertIfNegative val="0"/>
          <c:cat>
            <c:multiLvlStrRef>
              <c:f>'Pivot tables+ Analysis'!$A$92:$A$104</c:f>
              <c:multiLvlStrCache>
                <c:ptCount val="10"/>
                <c:lvl>
                  <c:pt idx="0">
                    <c:v>Airfreight</c:v>
                  </c:pt>
                  <c:pt idx="1">
                    <c:v>FCL</c:v>
                  </c:pt>
                  <c:pt idx="2">
                    <c:v>International</c:v>
                  </c:pt>
                  <c:pt idx="3">
                    <c:v>LCL</c:v>
                  </c:pt>
                  <c:pt idx="4">
                    <c:v>RAIL</c:v>
                  </c:pt>
                  <c:pt idx="5">
                    <c:v>Airfreight</c:v>
                  </c:pt>
                  <c:pt idx="6">
                    <c:v>FCL</c:v>
                  </c:pt>
                  <c:pt idx="7">
                    <c:v>International</c:v>
                  </c:pt>
                  <c:pt idx="8">
                    <c:v>LCL</c:v>
                  </c:pt>
                  <c:pt idx="9">
                    <c:v>RAIL</c:v>
                  </c:pt>
                </c:lvl>
                <c:lvl>
                  <c:pt idx="0">
                    <c:v>2024</c:v>
                  </c:pt>
                  <c:pt idx="5">
                    <c:v>2025</c:v>
                  </c:pt>
                </c:lvl>
              </c:multiLvlStrCache>
            </c:multiLvlStrRef>
          </c:cat>
          <c:val>
            <c:numRef>
              <c:f>'Pivot tables+ Analysis'!$J$92:$J$104</c:f>
              <c:numCache>
                <c:formatCode>0</c:formatCode>
                <c:ptCount val="10"/>
                <c:pt idx="0">
                  <c:v>1995</c:v>
                </c:pt>
                <c:pt idx="1">
                  <c:v>55930</c:v>
                </c:pt>
                <c:pt idx="2">
                  <c:v>2135</c:v>
                </c:pt>
                <c:pt idx="3">
                  <c:v>25200</c:v>
                </c:pt>
                <c:pt idx="4">
                  <c:v>18200</c:v>
                </c:pt>
                <c:pt idx="5">
                  <c:v>2195</c:v>
                </c:pt>
                <c:pt idx="6">
                  <c:v>61523</c:v>
                </c:pt>
                <c:pt idx="7">
                  <c:v>2349</c:v>
                </c:pt>
                <c:pt idx="8">
                  <c:v>26600</c:v>
                </c:pt>
                <c:pt idx="9">
                  <c:v>18900</c:v>
                </c:pt>
              </c:numCache>
            </c:numRef>
          </c:val>
          <c:extLst>
            <c:ext xmlns:c16="http://schemas.microsoft.com/office/drawing/2014/chart" uri="{C3380CC4-5D6E-409C-BE32-E72D297353CC}">
              <c16:uniqueId val="{00000008-E0B6-42DD-B779-E8C4397BB277}"/>
            </c:ext>
          </c:extLst>
        </c:ser>
        <c:ser>
          <c:idx val="9"/>
          <c:order val="9"/>
          <c:tx>
            <c:strRef>
              <c:f>'Pivot tables+ Analysis'!$K$90:$K$91</c:f>
              <c:strCache>
                <c:ptCount val="1"/>
                <c:pt idx="0">
                  <c:v>10</c:v>
                </c:pt>
              </c:strCache>
            </c:strRef>
          </c:tx>
          <c:spPr>
            <a:solidFill>
              <a:schemeClr val="accent4">
                <a:lumMod val="60000"/>
              </a:schemeClr>
            </a:solidFill>
            <a:ln>
              <a:noFill/>
            </a:ln>
            <a:effectLst/>
          </c:spPr>
          <c:invertIfNegative val="0"/>
          <c:cat>
            <c:multiLvlStrRef>
              <c:f>'Pivot tables+ Analysis'!$A$92:$A$104</c:f>
              <c:multiLvlStrCache>
                <c:ptCount val="10"/>
                <c:lvl>
                  <c:pt idx="0">
                    <c:v>Airfreight</c:v>
                  </c:pt>
                  <c:pt idx="1">
                    <c:v>FCL</c:v>
                  </c:pt>
                  <c:pt idx="2">
                    <c:v>International</c:v>
                  </c:pt>
                  <c:pt idx="3">
                    <c:v>LCL</c:v>
                  </c:pt>
                  <c:pt idx="4">
                    <c:v>RAIL</c:v>
                  </c:pt>
                  <c:pt idx="5">
                    <c:v>Airfreight</c:v>
                  </c:pt>
                  <c:pt idx="6">
                    <c:v>FCL</c:v>
                  </c:pt>
                  <c:pt idx="7">
                    <c:v>International</c:v>
                  </c:pt>
                  <c:pt idx="8">
                    <c:v>LCL</c:v>
                  </c:pt>
                  <c:pt idx="9">
                    <c:v>RAIL</c:v>
                  </c:pt>
                </c:lvl>
                <c:lvl>
                  <c:pt idx="0">
                    <c:v>2024</c:v>
                  </c:pt>
                  <c:pt idx="5">
                    <c:v>2025</c:v>
                  </c:pt>
                </c:lvl>
              </c:multiLvlStrCache>
            </c:multiLvlStrRef>
          </c:cat>
          <c:val>
            <c:numRef>
              <c:f>'Pivot tables+ Analysis'!$K$92:$K$104</c:f>
              <c:numCache>
                <c:formatCode>0</c:formatCode>
                <c:ptCount val="10"/>
                <c:pt idx="0">
                  <c:v>2065</c:v>
                </c:pt>
                <c:pt idx="1">
                  <c:v>59045</c:v>
                </c:pt>
                <c:pt idx="2">
                  <c:v>2520</c:v>
                </c:pt>
                <c:pt idx="3">
                  <c:v>24850</c:v>
                </c:pt>
                <c:pt idx="4">
                  <c:v>18130</c:v>
                </c:pt>
                <c:pt idx="5">
                  <c:v>2272</c:v>
                </c:pt>
                <c:pt idx="6">
                  <c:v>64950</c:v>
                </c:pt>
                <c:pt idx="7">
                  <c:v>2772</c:v>
                </c:pt>
                <c:pt idx="8">
                  <c:v>26250</c:v>
                </c:pt>
                <c:pt idx="9">
                  <c:v>18830</c:v>
                </c:pt>
              </c:numCache>
            </c:numRef>
          </c:val>
          <c:extLst>
            <c:ext xmlns:c16="http://schemas.microsoft.com/office/drawing/2014/chart" uri="{C3380CC4-5D6E-409C-BE32-E72D297353CC}">
              <c16:uniqueId val="{00000009-E0B6-42DD-B779-E8C4397BB277}"/>
            </c:ext>
          </c:extLst>
        </c:ser>
        <c:ser>
          <c:idx val="10"/>
          <c:order val="10"/>
          <c:tx>
            <c:strRef>
              <c:f>'Pivot tables+ Analysis'!$L$90:$L$91</c:f>
              <c:strCache>
                <c:ptCount val="1"/>
                <c:pt idx="0">
                  <c:v>11</c:v>
                </c:pt>
              </c:strCache>
            </c:strRef>
          </c:tx>
          <c:spPr>
            <a:solidFill>
              <a:schemeClr val="accent5">
                <a:lumMod val="60000"/>
              </a:schemeClr>
            </a:solidFill>
            <a:ln>
              <a:noFill/>
            </a:ln>
            <a:effectLst/>
          </c:spPr>
          <c:invertIfNegative val="0"/>
          <c:cat>
            <c:multiLvlStrRef>
              <c:f>'Pivot tables+ Analysis'!$A$92:$A$104</c:f>
              <c:multiLvlStrCache>
                <c:ptCount val="10"/>
                <c:lvl>
                  <c:pt idx="0">
                    <c:v>Airfreight</c:v>
                  </c:pt>
                  <c:pt idx="1">
                    <c:v>FCL</c:v>
                  </c:pt>
                  <c:pt idx="2">
                    <c:v>International</c:v>
                  </c:pt>
                  <c:pt idx="3">
                    <c:v>LCL</c:v>
                  </c:pt>
                  <c:pt idx="4">
                    <c:v>RAIL</c:v>
                  </c:pt>
                  <c:pt idx="5">
                    <c:v>Airfreight</c:v>
                  </c:pt>
                  <c:pt idx="6">
                    <c:v>FCL</c:v>
                  </c:pt>
                  <c:pt idx="7">
                    <c:v>International</c:v>
                  </c:pt>
                  <c:pt idx="8">
                    <c:v>LCL</c:v>
                  </c:pt>
                  <c:pt idx="9">
                    <c:v>RAIL</c:v>
                  </c:pt>
                </c:lvl>
                <c:lvl>
                  <c:pt idx="0">
                    <c:v>2024</c:v>
                  </c:pt>
                  <c:pt idx="5">
                    <c:v>2025</c:v>
                  </c:pt>
                </c:lvl>
              </c:multiLvlStrCache>
            </c:multiLvlStrRef>
          </c:cat>
          <c:val>
            <c:numRef>
              <c:f>'Pivot tables+ Analysis'!$L$92:$L$104</c:f>
              <c:numCache>
                <c:formatCode>0</c:formatCode>
                <c:ptCount val="10"/>
                <c:pt idx="0">
                  <c:v>2380</c:v>
                </c:pt>
                <c:pt idx="1">
                  <c:v>56035</c:v>
                </c:pt>
                <c:pt idx="2">
                  <c:v>2450</c:v>
                </c:pt>
                <c:pt idx="3">
                  <c:v>24500</c:v>
                </c:pt>
                <c:pt idx="4">
                  <c:v>18025</c:v>
                </c:pt>
                <c:pt idx="5">
                  <c:v>2618</c:v>
                </c:pt>
                <c:pt idx="6">
                  <c:v>61639</c:v>
                </c:pt>
                <c:pt idx="7">
                  <c:v>2695</c:v>
                </c:pt>
                <c:pt idx="8">
                  <c:v>25900</c:v>
                </c:pt>
                <c:pt idx="9">
                  <c:v>18725</c:v>
                </c:pt>
              </c:numCache>
            </c:numRef>
          </c:val>
          <c:extLst>
            <c:ext xmlns:c16="http://schemas.microsoft.com/office/drawing/2014/chart" uri="{C3380CC4-5D6E-409C-BE32-E72D297353CC}">
              <c16:uniqueId val="{0000000A-E0B6-42DD-B779-E8C4397BB277}"/>
            </c:ext>
          </c:extLst>
        </c:ser>
        <c:ser>
          <c:idx val="11"/>
          <c:order val="11"/>
          <c:tx>
            <c:strRef>
              <c:f>'Pivot tables+ Analysis'!$M$90:$M$91</c:f>
              <c:strCache>
                <c:ptCount val="1"/>
                <c:pt idx="0">
                  <c:v>12</c:v>
                </c:pt>
              </c:strCache>
            </c:strRef>
          </c:tx>
          <c:spPr>
            <a:solidFill>
              <a:schemeClr val="accent6">
                <a:lumMod val="60000"/>
              </a:schemeClr>
            </a:solidFill>
            <a:ln>
              <a:noFill/>
            </a:ln>
            <a:effectLst/>
          </c:spPr>
          <c:invertIfNegative val="0"/>
          <c:cat>
            <c:multiLvlStrRef>
              <c:f>'Pivot tables+ Analysis'!$A$92:$A$104</c:f>
              <c:multiLvlStrCache>
                <c:ptCount val="10"/>
                <c:lvl>
                  <c:pt idx="0">
                    <c:v>Airfreight</c:v>
                  </c:pt>
                  <c:pt idx="1">
                    <c:v>FCL</c:v>
                  </c:pt>
                  <c:pt idx="2">
                    <c:v>International</c:v>
                  </c:pt>
                  <c:pt idx="3">
                    <c:v>LCL</c:v>
                  </c:pt>
                  <c:pt idx="4">
                    <c:v>RAIL</c:v>
                  </c:pt>
                  <c:pt idx="5">
                    <c:v>Airfreight</c:v>
                  </c:pt>
                  <c:pt idx="6">
                    <c:v>FCL</c:v>
                  </c:pt>
                  <c:pt idx="7">
                    <c:v>International</c:v>
                  </c:pt>
                  <c:pt idx="8">
                    <c:v>LCL</c:v>
                  </c:pt>
                  <c:pt idx="9">
                    <c:v>RAIL</c:v>
                  </c:pt>
                </c:lvl>
                <c:lvl>
                  <c:pt idx="0">
                    <c:v>2024</c:v>
                  </c:pt>
                  <c:pt idx="5">
                    <c:v>2025</c:v>
                  </c:pt>
                </c:lvl>
              </c:multiLvlStrCache>
            </c:multiLvlStrRef>
          </c:cat>
          <c:val>
            <c:numRef>
              <c:f>'Pivot tables+ Analysis'!$M$92:$M$104</c:f>
              <c:numCache>
                <c:formatCode>0</c:formatCode>
                <c:ptCount val="10"/>
                <c:pt idx="0">
                  <c:v>2100</c:v>
                </c:pt>
                <c:pt idx="1">
                  <c:v>47670</c:v>
                </c:pt>
                <c:pt idx="2">
                  <c:v>2275</c:v>
                </c:pt>
                <c:pt idx="3">
                  <c:v>26600</c:v>
                </c:pt>
                <c:pt idx="4">
                  <c:v>36750</c:v>
                </c:pt>
                <c:pt idx="5">
                  <c:v>2310</c:v>
                </c:pt>
                <c:pt idx="6">
                  <c:v>52437</c:v>
                </c:pt>
                <c:pt idx="7">
                  <c:v>2503</c:v>
                </c:pt>
                <c:pt idx="8">
                  <c:v>28000</c:v>
                </c:pt>
                <c:pt idx="9">
                  <c:v>19075</c:v>
                </c:pt>
              </c:numCache>
            </c:numRef>
          </c:val>
          <c:extLst>
            <c:ext xmlns:c16="http://schemas.microsoft.com/office/drawing/2014/chart" uri="{C3380CC4-5D6E-409C-BE32-E72D297353CC}">
              <c16:uniqueId val="{0000000B-E0B6-42DD-B779-E8C4397BB277}"/>
            </c:ext>
          </c:extLst>
        </c:ser>
        <c:dLbls>
          <c:showLegendKey val="0"/>
          <c:showVal val="0"/>
          <c:showCatName val="0"/>
          <c:showSerName val="0"/>
          <c:showPercent val="0"/>
          <c:showBubbleSize val="0"/>
        </c:dLbls>
        <c:gapWidth val="219"/>
        <c:overlap val="-27"/>
        <c:axId val="969063264"/>
        <c:axId val="969069504"/>
      </c:barChart>
      <c:catAx>
        <c:axId val="96906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969069504"/>
        <c:crosses val="autoZero"/>
        <c:auto val="1"/>
        <c:lblAlgn val="ctr"/>
        <c:lblOffset val="100"/>
        <c:noMultiLvlLbl val="0"/>
      </c:catAx>
      <c:valAx>
        <c:axId val="9690695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96906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Sales Overview 2024-2025.xlsx]Pivot tables+ Analysis!Tabela przestawna5</c:name>
    <c:fmtId val="27"/>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Analysis'!$B$3:$B$5</c:f>
              <c:strCache>
                <c:ptCount val="1"/>
                <c:pt idx="0">
                  <c:v>2024</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Analysis'!$A$6:$A$10</c:f>
              <c:strCache>
                <c:ptCount val="4"/>
                <c:pt idx="0">
                  <c:v>Air</c:v>
                </c:pt>
                <c:pt idx="1">
                  <c:v>Ocean</c:v>
                </c:pt>
                <c:pt idx="2">
                  <c:v>RAIL</c:v>
                </c:pt>
                <c:pt idx="3">
                  <c:v>ROAD</c:v>
                </c:pt>
              </c:strCache>
            </c:strRef>
          </c:cat>
          <c:val>
            <c:numRef>
              <c:f>'Pivot tables+ Analysis'!$B$6:$B$10</c:f>
              <c:numCache>
                <c:formatCode>#,##0.00</c:formatCode>
                <c:ptCount val="4"/>
                <c:pt idx="0">
                  <c:v>2036363.636363636</c:v>
                </c:pt>
                <c:pt idx="1">
                  <c:v>301615965</c:v>
                </c:pt>
                <c:pt idx="2">
                  <c:v>26705000</c:v>
                </c:pt>
                <c:pt idx="3">
                  <c:v>6739773.5999999978</c:v>
                </c:pt>
              </c:numCache>
            </c:numRef>
          </c:val>
          <c:smooth val="0"/>
          <c:extLst>
            <c:ext xmlns:c16="http://schemas.microsoft.com/office/drawing/2014/chart" uri="{C3380CC4-5D6E-409C-BE32-E72D297353CC}">
              <c16:uniqueId val="{00000000-4FC6-4963-9887-CC0D56942D39}"/>
            </c:ext>
          </c:extLst>
        </c:ser>
        <c:ser>
          <c:idx val="1"/>
          <c:order val="1"/>
          <c:tx>
            <c:strRef>
              <c:f>'Pivot tables+ Analysis'!$C$3:$C$5</c:f>
              <c:strCache>
                <c:ptCount val="1"/>
                <c:pt idx="0">
                  <c:v>2025</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 Analysis'!$A$6:$A$10</c:f>
              <c:strCache>
                <c:ptCount val="4"/>
                <c:pt idx="0">
                  <c:v>Air</c:v>
                </c:pt>
                <c:pt idx="1">
                  <c:v>Ocean</c:v>
                </c:pt>
                <c:pt idx="2">
                  <c:v>RAIL</c:v>
                </c:pt>
                <c:pt idx="3">
                  <c:v>ROAD</c:v>
                </c:pt>
              </c:strCache>
            </c:strRef>
          </c:cat>
          <c:val>
            <c:numRef>
              <c:f>'Pivot tables+ Analysis'!$C$6:$C$10</c:f>
              <c:numCache>
                <c:formatCode>#,##0.00</c:formatCode>
                <c:ptCount val="4"/>
                <c:pt idx="0">
                  <c:v>2341818.1818181816</c:v>
                </c:pt>
                <c:pt idx="1">
                  <c:v>328925061.5</c:v>
                </c:pt>
                <c:pt idx="2">
                  <c:v>26950000</c:v>
                </c:pt>
                <c:pt idx="3">
                  <c:v>7378447.3839999959</c:v>
                </c:pt>
              </c:numCache>
            </c:numRef>
          </c:val>
          <c:smooth val="0"/>
          <c:extLst>
            <c:ext xmlns:c16="http://schemas.microsoft.com/office/drawing/2014/chart" uri="{C3380CC4-5D6E-409C-BE32-E72D297353CC}">
              <c16:uniqueId val="{00000001-4FC6-4963-9887-CC0D56942D39}"/>
            </c:ext>
          </c:extLst>
        </c:ser>
        <c:dLbls>
          <c:showLegendKey val="0"/>
          <c:showVal val="0"/>
          <c:showCatName val="0"/>
          <c:showSerName val="0"/>
          <c:showPercent val="0"/>
          <c:showBubbleSize val="0"/>
        </c:dLbls>
        <c:marker val="1"/>
        <c:smooth val="0"/>
        <c:axId val="1110759696"/>
        <c:axId val="1694921392"/>
      </c:lineChart>
      <c:catAx>
        <c:axId val="111075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694921392"/>
        <c:crosses val="autoZero"/>
        <c:auto val="1"/>
        <c:lblAlgn val="ctr"/>
        <c:lblOffset val="100"/>
        <c:noMultiLvlLbl val="0"/>
      </c:catAx>
      <c:valAx>
        <c:axId val="16949213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11075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Sales Overview 2024-2025.xlsx]Pivot tables+ Analysis!Tabela przestawna7</c:name>
    <c:fmtId val="2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Analysis'!$B$14:$B$16</c:f>
              <c:strCache>
                <c:ptCount val="1"/>
                <c:pt idx="0">
                  <c:v>2024</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Analysis'!$A$17:$A$22</c:f>
              <c:strCache>
                <c:ptCount val="5"/>
                <c:pt idx="0">
                  <c:v>Airfreight</c:v>
                </c:pt>
                <c:pt idx="1">
                  <c:v>FCL</c:v>
                </c:pt>
                <c:pt idx="2">
                  <c:v>International</c:v>
                </c:pt>
                <c:pt idx="3">
                  <c:v>LCL</c:v>
                </c:pt>
                <c:pt idx="4">
                  <c:v>RAIL</c:v>
                </c:pt>
              </c:strCache>
            </c:strRef>
          </c:cat>
          <c:val>
            <c:numRef>
              <c:f>'Pivot tables+ Analysis'!$B$17:$B$22</c:f>
              <c:numCache>
                <c:formatCode>#,##0.00</c:formatCode>
                <c:ptCount val="5"/>
                <c:pt idx="0">
                  <c:v>2036363.636363636</c:v>
                </c:pt>
                <c:pt idx="1">
                  <c:v>259090965</c:v>
                </c:pt>
                <c:pt idx="2">
                  <c:v>6739773.5999999978</c:v>
                </c:pt>
                <c:pt idx="3">
                  <c:v>42525000</c:v>
                </c:pt>
                <c:pt idx="4">
                  <c:v>26705000</c:v>
                </c:pt>
              </c:numCache>
            </c:numRef>
          </c:val>
          <c:smooth val="0"/>
          <c:extLst>
            <c:ext xmlns:c16="http://schemas.microsoft.com/office/drawing/2014/chart" uri="{C3380CC4-5D6E-409C-BE32-E72D297353CC}">
              <c16:uniqueId val="{00000000-5F2B-4801-83F3-F56DEF4F8ECF}"/>
            </c:ext>
          </c:extLst>
        </c:ser>
        <c:ser>
          <c:idx val="1"/>
          <c:order val="1"/>
          <c:tx>
            <c:strRef>
              <c:f>'Pivot tables+ Analysis'!$C$14:$C$16</c:f>
              <c:strCache>
                <c:ptCount val="1"/>
                <c:pt idx="0">
                  <c:v>2025</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 Analysis'!$A$17:$A$22</c:f>
              <c:strCache>
                <c:ptCount val="5"/>
                <c:pt idx="0">
                  <c:v>Airfreight</c:v>
                </c:pt>
                <c:pt idx="1">
                  <c:v>FCL</c:v>
                </c:pt>
                <c:pt idx="2">
                  <c:v>International</c:v>
                </c:pt>
                <c:pt idx="3">
                  <c:v>LCL</c:v>
                </c:pt>
                <c:pt idx="4">
                  <c:v>RAIL</c:v>
                </c:pt>
              </c:strCache>
            </c:strRef>
          </c:cat>
          <c:val>
            <c:numRef>
              <c:f>'Pivot tables+ Analysis'!$C$17:$C$22</c:f>
              <c:numCache>
                <c:formatCode>#,##0.00</c:formatCode>
                <c:ptCount val="5"/>
                <c:pt idx="0">
                  <c:v>2341818.1818181816</c:v>
                </c:pt>
                <c:pt idx="1">
                  <c:v>285000061.5</c:v>
                </c:pt>
                <c:pt idx="2">
                  <c:v>7378447.3839999959</c:v>
                </c:pt>
                <c:pt idx="3">
                  <c:v>43925000</c:v>
                </c:pt>
                <c:pt idx="4">
                  <c:v>26950000</c:v>
                </c:pt>
              </c:numCache>
            </c:numRef>
          </c:val>
          <c:smooth val="0"/>
          <c:extLst>
            <c:ext xmlns:c16="http://schemas.microsoft.com/office/drawing/2014/chart" uri="{C3380CC4-5D6E-409C-BE32-E72D297353CC}">
              <c16:uniqueId val="{00000001-5F2B-4801-83F3-F56DEF4F8ECF}"/>
            </c:ext>
          </c:extLst>
        </c:ser>
        <c:dLbls>
          <c:showLegendKey val="0"/>
          <c:showVal val="0"/>
          <c:showCatName val="0"/>
          <c:showSerName val="0"/>
          <c:showPercent val="0"/>
          <c:showBubbleSize val="0"/>
        </c:dLbls>
        <c:marker val="1"/>
        <c:smooth val="0"/>
        <c:axId val="1694934832"/>
        <c:axId val="1694935312"/>
      </c:lineChart>
      <c:catAx>
        <c:axId val="169493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694935312"/>
        <c:crosses val="autoZero"/>
        <c:auto val="1"/>
        <c:lblAlgn val="ctr"/>
        <c:lblOffset val="100"/>
        <c:noMultiLvlLbl val="0"/>
      </c:catAx>
      <c:valAx>
        <c:axId val="16949353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69493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548640</xdr:colOff>
      <xdr:row>0</xdr:row>
      <xdr:rowOff>144780</xdr:rowOff>
    </xdr:from>
    <xdr:to>
      <xdr:col>17</xdr:col>
      <xdr:colOff>91440</xdr:colOff>
      <xdr:row>25</xdr:row>
      <xdr:rowOff>0</xdr:rowOff>
    </xdr:to>
    <xdr:sp macro="" textlink="">
      <xdr:nvSpPr>
        <xdr:cNvPr id="2" name="pole tekstowe 1">
          <a:extLst>
            <a:ext uri="{FF2B5EF4-FFF2-40B4-BE49-F238E27FC236}">
              <a16:creationId xmlns:a16="http://schemas.microsoft.com/office/drawing/2014/main" id="{41C5BAAC-B87E-46A2-8A17-AA7424807870}"/>
            </a:ext>
          </a:extLst>
        </xdr:cNvPr>
        <xdr:cNvSpPr txBox="1"/>
      </xdr:nvSpPr>
      <xdr:spPr>
        <a:xfrm>
          <a:off x="548640" y="144780"/>
          <a:ext cx="8389620" cy="4427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200"/>
            <a:t>The Task:</a:t>
          </a:r>
        </a:p>
        <a:p>
          <a:endParaRPr lang="pl-PL" sz="1200"/>
        </a:p>
        <a:p>
          <a:r>
            <a:rPr lang="pl-PL" sz="1200"/>
            <a:t> </a:t>
          </a:r>
        </a:p>
        <a:p>
          <a:r>
            <a:rPr lang="pl-PL" sz="1200"/>
            <a:t>You are the Financial Controller supporting the Managing Director of the company XYZ.</a:t>
          </a:r>
        </a:p>
        <a:p>
          <a:endParaRPr lang="pl-PL" sz="1200"/>
        </a:p>
        <a:p>
          <a:r>
            <a:rPr lang="pl-PL" sz="1200"/>
            <a:t>The Director needs the analysis of sales for the last two years.</a:t>
          </a:r>
        </a:p>
        <a:p>
          <a:endParaRPr lang="pl-PL" sz="1200"/>
        </a:p>
        <a:p>
          <a:r>
            <a:rPr lang="pl-PL" sz="1200"/>
            <a:t>Based on the file provided (Raw_data.xlsx) you are charged with preparation of the management report in MS Excel.  </a:t>
          </a:r>
        </a:p>
        <a:p>
          <a:endParaRPr lang="pl-PL" sz="1200"/>
        </a:p>
        <a:p>
          <a:r>
            <a:rPr lang="pl-PL" sz="1200"/>
            <a:t>Expectations related to the management report:</a:t>
          </a:r>
        </a:p>
        <a:p>
          <a:r>
            <a:rPr lang="pl-PL" sz="1200"/>
            <a:t>*it should be created using pivot tables</a:t>
          </a:r>
        </a:p>
        <a:p>
          <a:r>
            <a:rPr lang="pl-PL" sz="1200"/>
            <a:t>*the data should be presented on monthly basis</a:t>
          </a:r>
        </a:p>
        <a:p>
          <a:r>
            <a:rPr lang="pl-PL" sz="1200"/>
            <a:t>*it should at least cover the revenue, cost, margin and shipment analysis</a:t>
          </a:r>
        </a:p>
        <a:p>
          <a:r>
            <a:rPr lang="pl-PL" sz="1200"/>
            <a:t>*conclusions and recommendations are required as a summary</a:t>
          </a:r>
        </a:p>
        <a:p>
          <a:r>
            <a:rPr lang="pl-PL" sz="1200"/>
            <a:t>*the report should be understandable to non-financial staff</a:t>
          </a:r>
        </a:p>
        <a:p>
          <a:endParaRPr lang="pl-PL" sz="1200"/>
        </a:p>
        <a:p>
          <a:r>
            <a:rPr lang="pl-PL" sz="1200"/>
            <a:t>The data might require changes or interpretation - you are asked to make your own business assumptions and present them in the report.</a:t>
          </a:r>
        </a:p>
        <a:p>
          <a:r>
            <a:rPr lang="pl-PL" sz="1200"/>
            <a:t>The Director has limited time - the report should be brief with key information and solutions as a point of attention.</a:t>
          </a:r>
        </a:p>
        <a:p>
          <a:endParaRPr lang="pl-PL" sz="1200"/>
        </a:p>
        <a:p>
          <a:r>
            <a:rPr lang="pl-PL" sz="1200"/>
            <a:t>The report should be presented in MS Excel and it should take +/- 1 hour to prepare.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0</xdr:colOff>
      <xdr:row>3</xdr:row>
      <xdr:rowOff>15240</xdr:rowOff>
    </xdr:from>
    <xdr:to>
      <xdr:col>15</xdr:col>
      <xdr:colOff>15240</xdr:colOff>
      <xdr:row>32</xdr:row>
      <xdr:rowOff>45720</xdr:rowOff>
    </xdr:to>
    <xdr:sp macro="" textlink="">
      <xdr:nvSpPr>
        <xdr:cNvPr id="8" name="pole tekstowe 7">
          <a:extLst>
            <a:ext uri="{FF2B5EF4-FFF2-40B4-BE49-F238E27FC236}">
              <a16:creationId xmlns:a16="http://schemas.microsoft.com/office/drawing/2014/main" id="{1BD98B43-9D5D-4AB9-85FB-65DFD45186CE}"/>
            </a:ext>
          </a:extLst>
        </xdr:cNvPr>
        <xdr:cNvSpPr txBox="1"/>
      </xdr:nvSpPr>
      <xdr:spPr>
        <a:xfrm>
          <a:off x="8534400" y="647700"/>
          <a:ext cx="4495800" cy="53340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100"/>
            <a:t>CONCLUSION:</a:t>
          </a:r>
        </a:p>
        <a:p>
          <a:endParaRPr lang="pl-PL" sz="1100"/>
        </a:p>
        <a:p>
          <a:r>
            <a:rPr lang="pl-PL" sz="1100"/>
            <a:t>Globally speaking, the condition of the company is stable. There is a decent net margin that enables it to continue its activity without any perturbations. Revenues and costs rose simultaneously (+7%). Net margin year-to-year reached +8%. Shipments volume rose by 4% year-to-year.</a:t>
          </a:r>
        </a:p>
        <a:p>
          <a:endParaRPr lang="pl-PL" sz="1100"/>
        </a:p>
        <a:p>
          <a:r>
            <a:rPr lang="pl-PL" sz="1100"/>
            <a:t>Approximately 75% of all shipments are linked to Ocean Department. It also generated 88% of company revenues in 2025. Products of this department were responsible for 87% of the total company revenue- FCL 73% and LCL 14% (2025). FCL seems to be major company revenue and shipments volume driver, while LCL seems  to be gething either stagnant or slighly in recession as its 2025 sales figure is slighly lower compared to 2024. In total iin 2015 Ocean Department had +9% increase in year-to-year net margin.</a:t>
          </a:r>
        </a:p>
        <a:p>
          <a:endParaRPr lang="pl-PL" sz="1100"/>
        </a:p>
        <a:p>
          <a:r>
            <a:rPr lang="pl-PL" sz="1100"/>
            <a:t>Second department by  volume of shipments is Rail Department. It covers 18% of total shipments in 2025. By revenue and cost, there is a slight decrease in performance compared to last year. Net margin is up by 1% in total company revenue structure and in total figures the value is nearly equal to 2024.</a:t>
          </a:r>
        </a:p>
        <a:p>
          <a:endParaRPr lang="pl-PL" sz="1100"/>
        </a:p>
        <a:p>
          <a:r>
            <a:rPr lang="pl-PL" sz="1100"/>
            <a:t>Road and Air Departments generated the lowest revenue and net margin in the company structure (2% Road/1% Air of total revenue and net margin in 2025 respectively), yet should not be overlooked. Especially Airfreight should be paid attention to as its  year-to-year revenue and net margin dynamics rose by 15% and were the highest in the company. As for Road Department it managed to increase its net margin by  9% year-to-year, revenue by 17%, while costs went up by 19% year to year. The trend seems quite promising, yet the total figures are still quite low and present a very limited influence on the company.</a:t>
          </a:r>
        </a:p>
      </xdr:txBody>
    </xdr:sp>
    <xdr:clientData/>
  </xdr:twoCellAnchor>
  <xdr:twoCellAnchor>
    <xdr:from>
      <xdr:col>14</xdr:col>
      <xdr:colOff>7620</xdr:colOff>
      <xdr:row>32</xdr:row>
      <xdr:rowOff>60960</xdr:rowOff>
    </xdr:from>
    <xdr:to>
      <xdr:col>15</xdr:col>
      <xdr:colOff>22860</xdr:colOff>
      <xdr:row>59</xdr:row>
      <xdr:rowOff>152400</xdr:rowOff>
    </xdr:to>
    <xdr:sp macro="" textlink="">
      <xdr:nvSpPr>
        <xdr:cNvPr id="9" name="pole tekstowe 8">
          <a:extLst>
            <a:ext uri="{FF2B5EF4-FFF2-40B4-BE49-F238E27FC236}">
              <a16:creationId xmlns:a16="http://schemas.microsoft.com/office/drawing/2014/main" id="{B8A6ECAC-106C-47DF-B2F7-023518CC6F6E}"/>
            </a:ext>
          </a:extLst>
        </xdr:cNvPr>
        <xdr:cNvSpPr txBox="1"/>
      </xdr:nvSpPr>
      <xdr:spPr>
        <a:xfrm>
          <a:off x="8542020" y="5996940"/>
          <a:ext cx="4495800" cy="502920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100" b="1" i="0" u="none" strike="noStrike">
              <a:solidFill>
                <a:schemeClr val="dk1"/>
              </a:solidFill>
              <a:effectLst/>
              <a:latin typeface="+mn-lt"/>
              <a:ea typeface="+mn-ea"/>
              <a:cs typeface="+mn-cs"/>
            </a:rPr>
            <a:t>RECOMMENDATIONS:</a:t>
          </a:r>
          <a:r>
            <a:rPr lang="pl-PL">
              <a:effectLst/>
            </a:rPr>
            <a:t> </a:t>
          </a:r>
        </a:p>
        <a:p>
          <a:endParaRPr lang="pl-PL" sz="1100" b="1" i="0" u="none" strike="noStrike">
            <a:solidFill>
              <a:schemeClr val="dk1"/>
            </a:solidFill>
            <a:effectLst/>
            <a:latin typeface="+mn-lt"/>
            <a:ea typeface="+mn-ea"/>
            <a:cs typeface="+mn-cs"/>
          </a:endParaRPr>
        </a:p>
        <a:p>
          <a:r>
            <a:rPr lang="pl-PL" sz="1100" b="1" i="0" u="none" strike="noStrike">
              <a:solidFill>
                <a:schemeClr val="dk1"/>
              </a:solidFill>
              <a:effectLst/>
              <a:latin typeface="+mn-lt"/>
              <a:ea typeface="+mn-ea"/>
              <a:cs typeface="+mn-cs"/>
            </a:rPr>
            <a:t>1) Further support of the Ocean Department, being the biggest revenue driver in the company and having a stable growth. a) Paying attention to LDL part of the department as it seems to have a slump in figures-&gt;why?market environment changing?any failures?</a:t>
          </a:r>
          <a:r>
            <a:rPr lang="pl-PL">
              <a:effectLst/>
            </a:rPr>
            <a:t> </a:t>
          </a:r>
          <a:r>
            <a:rPr lang="pl-PL" b="1">
              <a:effectLst/>
            </a:rPr>
            <a:t>b) There is a trend of sudden decrease</a:t>
          </a:r>
          <a:r>
            <a:rPr lang="pl-PL" b="1" baseline="0">
              <a:effectLst/>
            </a:rPr>
            <a:t> of shipments in April-May in this department. Could it be explained?</a:t>
          </a:r>
          <a:r>
            <a:rPr lang="pl-PL" sz="1100" b="1" i="0" u="none" strike="noStrike">
              <a:solidFill>
                <a:schemeClr val="dk1"/>
              </a:solidFill>
              <a:effectLst/>
              <a:latin typeface="+mn-lt"/>
              <a:ea typeface="+mn-ea"/>
              <a:cs typeface="+mn-cs"/>
            </a:rPr>
            <a:t> </a:t>
          </a:r>
          <a:r>
            <a:rPr lang="pl-PL" b="1">
              <a:effectLst/>
            </a:rPr>
            <a:t> </a:t>
          </a:r>
        </a:p>
        <a:p>
          <a:endParaRPr lang="pl-PL" sz="1100" b="1" i="0" u="none" strike="noStrike">
            <a:solidFill>
              <a:schemeClr val="dk1"/>
            </a:solidFill>
            <a:effectLst/>
            <a:latin typeface="+mn-lt"/>
            <a:ea typeface="+mn-ea"/>
            <a:cs typeface="+mn-cs"/>
          </a:endParaRPr>
        </a:p>
        <a:p>
          <a:r>
            <a:rPr lang="pl-PL" sz="1100" b="1" i="0" u="none" strike="noStrike">
              <a:solidFill>
                <a:schemeClr val="dk1"/>
              </a:solidFill>
              <a:effectLst/>
              <a:latin typeface="+mn-lt"/>
              <a:ea typeface="+mn-ea"/>
              <a:cs typeface="+mn-cs"/>
            </a:rPr>
            <a:t>2) Nearly up to 90% of revenue and net margin revolves around one business type. Diversification is needed to prevent risk (don't put all eggs in one basket).</a:t>
          </a:r>
          <a:r>
            <a:rPr lang="pl-PL">
              <a:effectLst/>
            </a:rPr>
            <a:t> </a:t>
          </a:r>
          <a:r>
            <a:rPr lang="pl-PL" sz="1100" b="1" i="0" u="none" strike="noStrike">
              <a:solidFill>
                <a:schemeClr val="dk1"/>
              </a:solidFill>
              <a:effectLst/>
              <a:latin typeface="+mn-lt"/>
              <a:ea typeface="+mn-ea"/>
              <a:cs typeface="+mn-cs"/>
            </a:rPr>
            <a:t> </a:t>
          </a:r>
          <a:r>
            <a:rPr lang="pl-PL">
              <a:effectLst/>
            </a:rPr>
            <a:t> </a:t>
          </a:r>
        </a:p>
        <a:p>
          <a:endParaRPr lang="pl-PL" sz="1100" b="1" i="0" u="none" strike="noStrike">
            <a:solidFill>
              <a:schemeClr val="dk1"/>
            </a:solidFill>
            <a:effectLst/>
            <a:latin typeface="+mn-lt"/>
            <a:ea typeface="+mn-ea"/>
            <a:cs typeface="+mn-cs"/>
          </a:endParaRPr>
        </a:p>
        <a:p>
          <a:r>
            <a:rPr lang="pl-PL" sz="1100" b="1" i="0" u="none" strike="noStrike">
              <a:solidFill>
                <a:schemeClr val="dk1"/>
              </a:solidFill>
              <a:effectLst/>
              <a:latin typeface="+mn-lt"/>
              <a:ea typeface="+mn-ea"/>
              <a:cs typeface="+mn-cs"/>
            </a:rPr>
            <a:t>3) Airfreight seems to be a rising star in the company with high drive in revenue  figures and net margin following. The figures in 2025 are not substantial compared to total company figures, but it is definitely a promising venture.</a:t>
          </a:r>
          <a:r>
            <a:rPr lang="pl-PL">
              <a:effectLst/>
            </a:rPr>
            <a:t> </a:t>
          </a:r>
          <a:r>
            <a:rPr lang="pl-PL" sz="1100" b="1" i="0" u="none" strike="noStrike">
              <a:solidFill>
                <a:schemeClr val="dk1"/>
              </a:solidFill>
              <a:effectLst/>
              <a:latin typeface="+mn-lt"/>
              <a:ea typeface="+mn-ea"/>
              <a:cs typeface="+mn-cs"/>
            </a:rPr>
            <a:t> </a:t>
          </a:r>
          <a:r>
            <a:rPr lang="pl-PL">
              <a:effectLst/>
            </a:rPr>
            <a:t> </a:t>
          </a:r>
        </a:p>
        <a:p>
          <a:endParaRPr lang="pl-PL" sz="1100" b="1" i="0" u="none" strike="noStrike">
            <a:solidFill>
              <a:schemeClr val="dk1"/>
            </a:solidFill>
            <a:effectLst/>
            <a:latin typeface="+mn-lt"/>
            <a:ea typeface="+mn-ea"/>
            <a:cs typeface="+mn-cs"/>
          </a:endParaRPr>
        </a:p>
        <a:p>
          <a:r>
            <a:rPr lang="pl-PL" sz="1100" b="1" i="0" u="none" strike="noStrike">
              <a:solidFill>
                <a:schemeClr val="dk1"/>
              </a:solidFill>
              <a:effectLst/>
              <a:latin typeface="+mn-lt"/>
              <a:ea typeface="+mn-ea"/>
              <a:cs typeface="+mn-cs"/>
            </a:rPr>
            <a:t>4) Road freight should be further supported with a slight attention to cost optimization.</a:t>
          </a:r>
          <a:r>
            <a:rPr lang="pl-PL">
              <a:effectLst/>
            </a:rPr>
            <a:t> </a:t>
          </a:r>
          <a:r>
            <a:rPr lang="pl-PL" sz="1100" b="1" i="0" u="none" strike="noStrike">
              <a:solidFill>
                <a:schemeClr val="dk1"/>
              </a:solidFill>
              <a:effectLst/>
              <a:latin typeface="+mn-lt"/>
              <a:ea typeface="+mn-ea"/>
              <a:cs typeface="+mn-cs"/>
            </a:rPr>
            <a:t> </a:t>
          </a:r>
          <a:r>
            <a:rPr lang="pl-PL">
              <a:effectLst/>
            </a:rPr>
            <a:t> </a:t>
          </a:r>
        </a:p>
        <a:p>
          <a:endParaRPr lang="pl-PL" sz="1100" b="1" i="0" u="none" strike="noStrike">
            <a:solidFill>
              <a:schemeClr val="dk1"/>
            </a:solidFill>
            <a:effectLst/>
            <a:latin typeface="+mn-lt"/>
            <a:ea typeface="+mn-ea"/>
            <a:cs typeface="+mn-cs"/>
          </a:endParaRPr>
        </a:p>
        <a:p>
          <a:r>
            <a:rPr lang="pl-PL" sz="1100" b="1" i="0" u="none" strike="noStrike">
              <a:solidFill>
                <a:schemeClr val="dk1"/>
              </a:solidFill>
              <a:effectLst/>
              <a:latin typeface="+mn-lt"/>
              <a:ea typeface="+mn-ea"/>
              <a:cs typeface="+mn-cs"/>
            </a:rPr>
            <a:t>5) Rail freight should be looked into as the figures are either stagnant (net margin) or decreasing (revenue and costs). This might be a one-year situation or a symptom of a bigger market trend. a) Performance of this department is a question mark not explained with this data.</a:t>
          </a:r>
          <a:r>
            <a:rPr lang="pl-PL" b="1">
              <a:effectLst/>
            </a:rPr>
            <a:t> b) December 2024 performance seems to be an outlier. Could there be a double</a:t>
          </a:r>
          <a:r>
            <a:rPr lang="pl-PL" b="1" baseline="0">
              <a:effectLst/>
            </a:rPr>
            <a:t> booking of an order by mistake or were shipments really doubled this month?</a:t>
          </a:r>
          <a:r>
            <a:rPr lang="pl-PL" b="1">
              <a:effectLst/>
            </a:rPr>
            <a:t> </a:t>
          </a:r>
          <a:endParaRPr lang="pl-PL" sz="1100" b="1"/>
        </a:p>
      </xdr:txBody>
    </xdr:sp>
    <xdr:clientData/>
  </xdr:twoCellAnchor>
  <xdr:twoCellAnchor>
    <xdr:from>
      <xdr:col>0</xdr:col>
      <xdr:colOff>45720</xdr:colOff>
      <xdr:row>5</xdr:row>
      <xdr:rowOff>83820</xdr:rowOff>
    </xdr:from>
    <xdr:to>
      <xdr:col>12</xdr:col>
      <xdr:colOff>541020</xdr:colOff>
      <xdr:row>22</xdr:row>
      <xdr:rowOff>22860</xdr:rowOff>
    </xdr:to>
    <xdr:graphicFrame macro="">
      <xdr:nvGraphicFramePr>
        <xdr:cNvPr id="11" name="Wykres 10">
          <a:extLst>
            <a:ext uri="{FF2B5EF4-FFF2-40B4-BE49-F238E27FC236}">
              <a16:creationId xmlns:a16="http://schemas.microsoft.com/office/drawing/2014/main" id="{43502E24-9C42-4C93-A1F3-126BBAEFC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25</xdr:row>
      <xdr:rowOff>45720</xdr:rowOff>
    </xdr:from>
    <xdr:to>
      <xdr:col>12</xdr:col>
      <xdr:colOff>525780</xdr:colOff>
      <xdr:row>41</xdr:row>
      <xdr:rowOff>30480</xdr:rowOff>
    </xdr:to>
    <xdr:graphicFrame macro="">
      <xdr:nvGraphicFramePr>
        <xdr:cNvPr id="12" name="Wykres 11">
          <a:extLst>
            <a:ext uri="{FF2B5EF4-FFF2-40B4-BE49-F238E27FC236}">
              <a16:creationId xmlns:a16="http://schemas.microsoft.com/office/drawing/2014/main" id="{041C503A-B004-4C2F-8E76-3A0F0398E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99060</xdr:colOff>
      <xdr:row>44</xdr:row>
      <xdr:rowOff>76200</xdr:rowOff>
    </xdr:from>
    <xdr:to>
      <xdr:col>12</xdr:col>
      <xdr:colOff>571500</xdr:colOff>
      <xdr:row>62</xdr:row>
      <xdr:rowOff>167640</xdr:rowOff>
    </xdr:to>
    <xdr:graphicFrame macro="">
      <xdr:nvGraphicFramePr>
        <xdr:cNvPr id="13" name="Wykres 12">
          <a:extLst>
            <a:ext uri="{FF2B5EF4-FFF2-40B4-BE49-F238E27FC236}">
              <a16:creationId xmlns:a16="http://schemas.microsoft.com/office/drawing/2014/main" id="{360F59E6-9630-4777-9E58-F3170792D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53340</xdr:colOff>
      <xdr:row>67</xdr:row>
      <xdr:rowOff>99060</xdr:rowOff>
    </xdr:from>
    <xdr:to>
      <xdr:col>12</xdr:col>
      <xdr:colOff>556260</xdr:colOff>
      <xdr:row>88</xdr:row>
      <xdr:rowOff>167640</xdr:rowOff>
    </xdr:to>
    <xdr:graphicFrame macro="">
      <xdr:nvGraphicFramePr>
        <xdr:cNvPr id="14" name="Wykres 13">
          <a:extLst>
            <a:ext uri="{FF2B5EF4-FFF2-40B4-BE49-F238E27FC236}">
              <a16:creationId xmlns:a16="http://schemas.microsoft.com/office/drawing/2014/main" id="{003E2B4A-2429-4A96-AB77-0DEE91A81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53340</xdr:colOff>
      <xdr:row>109</xdr:row>
      <xdr:rowOff>60960</xdr:rowOff>
    </xdr:from>
    <xdr:to>
      <xdr:col>12</xdr:col>
      <xdr:colOff>541020</xdr:colOff>
      <xdr:row>130</xdr:row>
      <xdr:rowOff>152400</xdr:rowOff>
    </xdr:to>
    <xdr:graphicFrame macro="">
      <xdr:nvGraphicFramePr>
        <xdr:cNvPr id="15" name="Wykres 14">
          <a:extLst>
            <a:ext uri="{FF2B5EF4-FFF2-40B4-BE49-F238E27FC236}">
              <a16:creationId xmlns:a16="http://schemas.microsoft.com/office/drawing/2014/main" id="{4F2ED760-AE29-4E99-B85A-63DF35E06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76200</xdr:colOff>
      <xdr:row>92</xdr:row>
      <xdr:rowOff>60960</xdr:rowOff>
    </xdr:from>
    <xdr:to>
      <xdr:col>12</xdr:col>
      <xdr:colOff>571500</xdr:colOff>
      <xdr:row>105</xdr:row>
      <xdr:rowOff>114300</xdr:rowOff>
    </xdr:to>
    <xdr:graphicFrame macro="">
      <xdr:nvGraphicFramePr>
        <xdr:cNvPr id="16" name="Wykres 15">
          <a:extLst>
            <a:ext uri="{FF2B5EF4-FFF2-40B4-BE49-F238E27FC236}">
              <a16:creationId xmlns:a16="http://schemas.microsoft.com/office/drawing/2014/main" id="{A70ADF13-2D08-4829-B356-476DEFEF10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68580</xdr:colOff>
      <xdr:row>133</xdr:row>
      <xdr:rowOff>53340</xdr:rowOff>
    </xdr:from>
    <xdr:to>
      <xdr:col>12</xdr:col>
      <xdr:colOff>579120</xdr:colOff>
      <xdr:row>148</xdr:row>
      <xdr:rowOff>175260</xdr:rowOff>
    </xdr:to>
    <xdr:graphicFrame macro="">
      <xdr:nvGraphicFramePr>
        <xdr:cNvPr id="17" name="Wykres 16">
          <a:extLst>
            <a:ext uri="{FF2B5EF4-FFF2-40B4-BE49-F238E27FC236}">
              <a16:creationId xmlns:a16="http://schemas.microsoft.com/office/drawing/2014/main" id="{538ED000-5062-403C-920A-6AA3C73FA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ta Marta" refreshedDate="46065.526270601855" createdVersion="8" refreshedVersion="8" minRefreshableVersion="3" recordCount="122" xr:uid="{02B5F016-7957-4F03-8C95-BAEE23323BB8}">
  <cacheSource type="worksheet">
    <worksheetSource name="Tabela1"/>
  </cacheSource>
  <cacheFields count="11">
    <cacheField name="Year" numFmtId="0">
      <sharedItems containsSemiMixedTypes="0" containsString="0" containsNumber="1" containsInteger="1" minValue="2024" maxValue="2025" count="2">
        <n v="2024"/>
        <n v="2025"/>
      </sharedItems>
    </cacheField>
    <cacheField name="Month" numFmtId="14">
      <sharedItems/>
    </cacheField>
    <cacheField name="Month_no" numFmtId="0">
      <sharedItems containsSemiMixedTypes="0" containsString="0" containsNumber="1" containsInteger="1" minValue="1" maxValue="12" count="12">
        <n v="1"/>
        <n v="2"/>
        <n v="3"/>
        <n v="4"/>
        <n v="5"/>
        <n v="6"/>
        <n v="7"/>
        <n v="8"/>
        <n v="9"/>
        <n v="10"/>
        <n v="11"/>
        <n v="12"/>
      </sharedItems>
    </cacheField>
    <cacheField name="Department" numFmtId="0">
      <sharedItems count="4">
        <s v="ROAD"/>
        <s v="Air"/>
        <s v="RAIL"/>
        <s v="Ocean"/>
      </sharedItems>
    </cacheField>
    <cacheField name="Product" numFmtId="0">
      <sharedItems count="5">
        <s v="International"/>
        <s v="Airfreight"/>
        <s v="RAIL"/>
        <s v="LCL"/>
        <s v="FCL"/>
      </sharedItems>
    </cacheField>
    <cacheField name="Revenue" numFmtId="3">
      <sharedItems containsSemiMixedTypes="0" containsString="0" containsNumber="1" minValue="1225000" maxValue="103901605.50000001"/>
    </cacheField>
    <cacheField name="Cost" numFmtId="3">
      <sharedItems containsSemiMixedTypes="0" containsString="0" containsNumber="1" minValue="1097727.2727272727" maxValue="76517325.500000015"/>
    </cacheField>
    <cacheField name="Margin" numFmtId="3">
      <sharedItems containsSemiMixedTypes="0" containsString="0" containsNumber="1" minValue="109772.72727272713" maxValue="28711752.300000001"/>
    </cacheField>
    <cacheField name="Margin2" numFmtId="3">
      <sharedItems containsSemiMixedTypes="0" containsString="0" containsNumber="1" minValue="121969.69696969679" maxValue="31901947.000000015"/>
    </cacheField>
    <cacheField name="Shipments" numFmtId="0">
      <sharedItems containsSemiMixedTypes="0" containsString="0" containsNumber="1" containsInteger="1" minValue="1645" maxValue="64950"/>
    </cacheField>
    <cacheField name="DIFF" numFmtId="0" formula="Revenue-Cost"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
  <r>
    <x v="0"/>
    <s v="January"/>
    <x v="0"/>
    <x v="0"/>
    <x v="0"/>
    <n v="2414090"/>
    <n v="1907131.0999999999"/>
    <n v="456263.01000000007"/>
    <n v="506958.90000000014"/>
    <n v="1960"/>
  </r>
  <r>
    <x v="0"/>
    <s v="January"/>
    <x v="0"/>
    <x v="1"/>
    <x v="1"/>
    <n v="1516666.6666666667"/>
    <n v="1304545.4545454546"/>
    <n v="190909.09090909103"/>
    <n v="212121.21212121216"/>
    <n v="2100"/>
  </r>
  <r>
    <x v="0"/>
    <s v="January"/>
    <x v="0"/>
    <x v="2"/>
    <x v="2"/>
    <n v="10500000"/>
    <n v="8400000"/>
    <n v="1890000"/>
    <n v="2100000"/>
    <n v="18200"/>
  </r>
  <r>
    <x v="0"/>
    <s v="January"/>
    <x v="0"/>
    <x v="3"/>
    <x v="3"/>
    <n v="18200000"/>
    <n v="14350000"/>
    <n v="3465000"/>
    <n v="3850000"/>
    <n v="28700"/>
  </r>
  <r>
    <x v="0"/>
    <s v="January"/>
    <x v="0"/>
    <x v="3"/>
    <x v="4"/>
    <n v="87524500"/>
    <n v="65609705"/>
    <n v="19723315.5"/>
    <n v="21914795"/>
    <n v="43435"/>
  </r>
  <r>
    <x v="0"/>
    <s v="February"/>
    <x v="1"/>
    <x v="1"/>
    <x v="1"/>
    <n v="1487500"/>
    <n v="1288636.3636363635"/>
    <n v="178977.27272727279"/>
    <n v="198863.63636363647"/>
    <n v="1925"/>
  </r>
  <r>
    <x v="0"/>
    <s v="February"/>
    <x v="1"/>
    <x v="0"/>
    <x v="0"/>
    <n v="3141110"/>
    <n v="2481476.9"/>
    <n v="593669.79"/>
    <n v="659633.10000000009"/>
    <n v="2695"/>
  </r>
  <r>
    <x v="0"/>
    <s v="February"/>
    <x v="1"/>
    <x v="2"/>
    <x v="2"/>
    <n v="10325000"/>
    <n v="8330000"/>
    <n v="1795500"/>
    <n v="1995000"/>
    <n v="17850"/>
  </r>
  <r>
    <x v="0"/>
    <s v="February"/>
    <x v="1"/>
    <x v="3"/>
    <x v="3"/>
    <n v="17850000"/>
    <n v="14175000"/>
    <n v="3307500"/>
    <n v="3675000"/>
    <n v="28000"/>
  </r>
  <r>
    <x v="0"/>
    <s v="February"/>
    <x v="1"/>
    <x v="3"/>
    <x v="4"/>
    <n v="92423800"/>
    <n v="69560820"/>
    <n v="20576682.000000004"/>
    <n v="22862980"/>
    <n v="47320"/>
  </r>
  <r>
    <x v="0"/>
    <s v="March"/>
    <x v="2"/>
    <x v="1"/>
    <x v="1"/>
    <n v="1254166.6666666667"/>
    <n v="1113636.3636363638"/>
    <n v="126477.27272727275"/>
    <n v="140530.30303030298"/>
    <n v="1645"/>
  </r>
  <r>
    <x v="0"/>
    <s v="March"/>
    <x v="2"/>
    <x v="0"/>
    <x v="0"/>
    <n v="2647120"/>
    <n v="2091224.8000000003"/>
    <n v="500305.67999999982"/>
    <n v="555895.19999999972"/>
    <n v="2415"/>
  </r>
  <r>
    <x v="0"/>
    <s v="March"/>
    <x v="2"/>
    <x v="2"/>
    <x v="2"/>
    <n v="10150000"/>
    <n v="8225000"/>
    <n v="1732500"/>
    <n v="1925000"/>
    <n v="17500"/>
  </r>
  <r>
    <x v="0"/>
    <s v="March"/>
    <x v="2"/>
    <x v="3"/>
    <x v="3"/>
    <n v="15050000"/>
    <n v="12250000"/>
    <n v="2520000"/>
    <n v="2800000"/>
    <n v="23450"/>
  </r>
  <r>
    <x v="0"/>
    <s v="March"/>
    <x v="2"/>
    <x v="3"/>
    <x v="4"/>
    <n v="94456005"/>
    <n v="66697050"/>
    <n v="24983059.500000004"/>
    <n v="27758955"/>
    <n v="47810"/>
  </r>
  <r>
    <x v="0"/>
    <s v="April"/>
    <x v="3"/>
    <x v="1"/>
    <x v="1"/>
    <n v="1225000"/>
    <n v="1097727.2727272727"/>
    <n v="114545.45454545454"/>
    <n v="127272.72727272729"/>
    <n v="2065"/>
  </r>
  <r>
    <x v="0"/>
    <s v="April"/>
    <x v="3"/>
    <x v="0"/>
    <x v="0"/>
    <n v="2777775"/>
    <n v="2194442.25"/>
    <n v="524999.47499999986"/>
    <n v="583332.75"/>
    <n v="2485"/>
  </r>
  <r>
    <x v="0"/>
    <s v="April"/>
    <x v="3"/>
    <x v="2"/>
    <x v="2"/>
    <n v="10220000"/>
    <n v="8260000"/>
    <n v="1764000"/>
    <n v="1960000"/>
    <n v="17675"/>
  </r>
  <r>
    <x v="0"/>
    <s v="April"/>
    <x v="3"/>
    <x v="3"/>
    <x v="3"/>
    <n v="15050000"/>
    <n v="12075000"/>
    <n v="2362500"/>
    <n v="2975000"/>
    <n v="23100"/>
  </r>
  <r>
    <x v="0"/>
    <s v="April"/>
    <x v="3"/>
    <x v="3"/>
    <x v="3"/>
    <n v="14700000"/>
    <n v="12075000"/>
    <n v="2362500"/>
    <n v="2625000"/>
    <n v="23100"/>
  </r>
  <r>
    <x v="0"/>
    <s v="April"/>
    <x v="3"/>
    <x v="3"/>
    <x v="4"/>
    <n v="84528885"/>
    <n v="69315750"/>
    <n v="13691821.5"/>
    <n v="15213135"/>
    <n v="42000"/>
  </r>
  <r>
    <x v="0"/>
    <s v="May"/>
    <x v="4"/>
    <x v="1"/>
    <x v="1"/>
    <n v="1283333.3333333333"/>
    <n v="1145454.5454545454"/>
    <n v="124090.909090909"/>
    <n v="137878.78787878784"/>
    <n v="1785"/>
  </r>
  <r>
    <x v="0"/>
    <s v="May"/>
    <x v="4"/>
    <x v="0"/>
    <x v="0"/>
    <n v="2850960"/>
    <n v="2252258.4000000004"/>
    <n v="538831.43999999983"/>
    <n v="598701.59999999963"/>
    <n v="2555"/>
  </r>
  <r>
    <x v="0"/>
    <s v="May"/>
    <x v="4"/>
    <x v="2"/>
    <x v="2"/>
    <n v="10430000"/>
    <n v="8400000"/>
    <n v="1827000"/>
    <n v="2030000"/>
    <n v="18025"/>
  </r>
  <r>
    <x v="0"/>
    <s v="May"/>
    <x v="4"/>
    <x v="3"/>
    <x v="3"/>
    <n v="15400000"/>
    <n v="12600000"/>
    <n v="2520000"/>
    <n v="2800000"/>
    <n v="24150"/>
  </r>
  <r>
    <x v="0"/>
    <s v="May"/>
    <x v="4"/>
    <x v="3"/>
    <x v="4"/>
    <n v="73590615"/>
    <n v="62459915"/>
    <n v="10017630"/>
    <n v="11130700"/>
    <n v="35840"/>
  </r>
  <r>
    <x v="0"/>
    <s v="June"/>
    <x v="5"/>
    <x v="0"/>
    <x v="0"/>
    <n v="2150960"/>
    <n v="1699258.4000000001"/>
    <n v="406531.43999999983"/>
    <n v="451701.59999999986"/>
    <n v="1925"/>
  </r>
  <r>
    <x v="0"/>
    <s v="June"/>
    <x v="5"/>
    <x v="1"/>
    <x v="1"/>
    <n v="1633333.3333333333"/>
    <n v="1415909.0909090911"/>
    <n v="195681.81818181806"/>
    <n v="217424.2424242422"/>
    <n v="2205"/>
  </r>
  <r>
    <x v="0"/>
    <s v="June"/>
    <x v="5"/>
    <x v="2"/>
    <x v="2"/>
    <n v="10675000"/>
    <n v="8575000"/>
    <n v="1890000"/>
    <n v="2100000"/>
    <n v="18375"/>
  </r>
  <r>
    <x v="0"/>
    <s v="June"/>
    <x v="5"/>
    <x v="3"/>
    <x v="3"/>
    <n v="19600000"/>
    <n v="15575000"/>
    <n v="3622500"/>
    <n v="4025000"/>
    <n v="30800"/>
  </r>
  <r>
    <x v="0"/>
    <s v="June"/>
    <x v="5"/>
    <x v="3"/>
    <x v="4"/>
    <n v="81749430"/>
    <n v="58012115"/>
    <n v="21363583.5"/>
    <n v="23737315"/>
    <n v="43960"/>
  </r>
  <r>
    <x v="0"/>
    <s v="July"/>
    <x v="6"/>
    <x v="0"/>
    <x v="0"/>
    <n v="2467010"/>
    <n v="1948937.9000000001"/>
    <n v="466264.8899999999"/>
    <n v="518072.09999999986"/>
    <n v="2170"/>
  </r>
  <r>
    <x v="0"/>
    <s v="July"/>
    <x v="6"/>
    <x v="1"/>
    <x v="1"/>
    <n v="1720833.3333333333"/>
    <n v="1495454.5454545454"/>
    <n v="202840.909090909"/>
    <n v="225378.78787878784"/>
    <n v="2310"/>
  </r>
  <r>
    <x v="0"/>
    <s v="July"/>
    <x v="6"/>
    <x v="2"/>
    <x v="2"/>
    <n v="10850000"/>
    <n v="8680000"/>
    <n v="1953000"/>
    <n v="2170000"/>
    <n v="18550"/>
  </r>
  <r>
    <x v="0"/>
    <s v="July"/>
    <x v="6"/>
    <x v="3"/>
    <x v="3"/>
    <n v="20650000"/>
    <n v="16450000"/>
    <n v="3780000"/>
    <n v="4200000"/>
    <n v="32200"/>
  </r>
  <r>
    <x v="0"/>
    <s v="July"/>
    <x v="6"/>
    <x v="3"/>
    <x v="4"/>
    <n v="82556075"/>
    <n v="65608305"/>
    <n v="15252993"/>
    <n v="16947770"/>
    <n v="48615"/>
  </r>
  <r>
    <x v="0"/>
    <s v="August"/>
    <x v="7"/>
    <x v="1"/>
    <x v="1"/>
    <n v="1691666.6666666667"/>
    <n v="1479545.4545454546"/>
    <n v="190909.09090909103"/>
    <n v="212121.21212121216"/>
    <n v="2135"/>
  </r>
  <r>
    <x v="0"/>
    <s v="August"/>
    <x v="7"/>
    <x v="0"/>
    <x v="0"/>
    <n v="2529205"/>
    <n v="1998071.9500000002"/>
    <n v="478019.74499999988"/>
    <n v="531133.04999999981"/>
    <n v="2310"/>
  </r>
  <r>
    <x v="0"/>
    <s v="August"/>
    <x v="7"/>
    <x v="2"/>
    <x v="2"/>
    <n v="10780000"/>
    <n v="8645000"/>
    <n v="1921500"/>
    <n v="2135000"/>
    <n v="18480"/>
  </r>
  <r>
    <x v="0"/>
    <s v="August"/>
    <x v="7"/>
    <x v="3"/>
    <x v="3"/>
    <n v="20300000"/>
    <n v="16275000"/>
    <n v="3451000.0000000005"/>
    <n v="4025000"/>
    <n v="31850"/>
  </r>
  <r>
    <x v="0"/>
    <s v="August"/>
    <x v="7"/>
    <x v="3"/>
    <x v="4"/>
    <n v="80505075"/>
    <n v="59134705"/>
    <n v="19233333"/>
    <n v="21370370"/>
    <n v="46270"/>
  </r>
  <r>
    <x v="0"/>
    <s v="September"/>
    <x v="8"/>
    <x v="1"/>
    <x v="1"/>
    <n v="1341666.6666666667"/>
    <n v="1193181.8181818181"/>
    <n v="133636.36363636379"/>
    <n v="148484.84848484863"/>
    <n v="1995"/>
  </r>
  <r>
    <x v="0"/>
    <s v="September"/>
    <x v="8"/>
    <x v="0"/>
    <x v="0"/>
    <n v="2562385"/>
    <n v="2024284.1500000001"/>
    <n v="484290.76499999996"/>
    <n v="538100.84999999986"/>
    <n v="2135"/>
  </r>
  <r>
    <x v="0"/>
    <s v="September"/>
    <x v="8"/>
    <x v="2"/>
    <x v="2"/>
    <n v="10570000"/>
    <n v="8505000"/>
    <n v="1858500"/>
    <n v="2065000"/>
    <n v="18200"/>
  </r>
  <r>
    <x v="0"/>
    <s v="September"/>
    <x v="8"/>
    <x v="3"/>
    <x v="3"/>
    <n v="16100000"/>
    <n v="13125000"/>
    <n v="2677500"/>
    <n v="2975000"/>
    <n v="25200"/>
  </r>
  <r>
    <x v="0"/>
    <s v="September"/>
    <x v="8"/>
    <x v="3"/>
    <x v="4"/>
    <n v="90244525"/>
    <n v="69561205"/>
    <n v="18614988"/>
    <n v="20683320"/>
    <n v="55930"/>
  </r>
  <r>
    <x v="0"/>
    <s v="October"/>
    <x v="9"/>
    <x v="1"/>
    <x v="1"/>
    <n v="1312500"/>
    <n v="1177272.7272727273"/>
    <n v="121704.54545454535"/>
    <n v="135227.27272727271"/>
    <n v="2065"/>
  </r>
  <r>
    <x v="0"/>
    <s v="October"/>
    <x v="9"/>
    <x v="0"/>
    <x v="0"/>
    <n v="2839235"/>
    <n v="2242995.65"/>
    <n v="536615.41499999992"/>
    <n v="596239.35000000009"/>
    <n v="2520"/>
  </r>
  <r>
    <x v="0"/>
    <s v="October"/>
    <x v="9"/>
    <x v="2"/>
    <x v="2"/>
    <n v="10500000"/>
    <n v="8470000"/>
    <n v="1827000"/>
    <n v="2030000"/>
    <n v="18130"/>
  </r>
  <r>
    <x v="0"/>
    <s v="October"/>
    <x v="9"/>
    <x v="3"/>
    <x v="3"/>
    <n v="15750000"/>
    <n v="12950000"/>
    <n v="2520000"/>
    <n v="2800000"/>
    <n v="24850"/>
  </r>
  <r>
    <x v="0"/>
    <s v="October"/>
    <x v="9"/>
    <x v="3"/>
    <x v="4"/>
    <n v="89945590"/>
    <n v="62460860"/>
    <n v="24736257.000000004"/>
    <n v="27484730"/>
    <n v="59045"/>
  </r>
  <r>
    <x v="0"/>
    <s v="November"/>
    <x v="10"/>
    <x v="1"/>
    <x v="1"/>
    <n v="1283333.3333333333"/>
    <n v="1161363.6363636365"/>
    <n v="109772.72727272713"/>
    <n v="121969.69696969679"/>
    <n v="2380"/>
  </r>
  <r>
    <x v="0"/>
    <s v="November"/>
    <x v="10"/>
    <x v="0"/>
    <x v="0"/>
    <n v="2926770"/>
    <n v="2312148.3000000003"/>
    <n v="553159.5299999998"/>
    <n v="614621.69999999972"/>
    <n v="2450"/>
  </r>
  <r>
    <x v="0"/>
    <s v="November"/>
    <x v="10"/>
    <x v="2"/>
    <x v="2"/>
    <n v="10430000"/>
    <n v="8435000"/>
    <n v="1795500"/>
    <n v="1995000"/>
    <n v="18025"/>
  </r>
  <r>
    <x v="0"/>
    <s v="November"/>
    <x v="10"/>
    <x v="3"/>
    <x v="3"/>
    <n v="15400000"/>
    <n v="12775000"/>
    <n v="2362500"/>
    <n v="2625000"/>
    <n v="24500"/>
  </r>
  <r>
    <x v="0"/>
    <s v="November"/>
    <x v="10"/>
    <x v="3"/>
    <x v="4"/>
    <n v="87064705"/>
    <n v="58062935"/>
    <n v="26101593"/>
    <n v="29001770"/>
    <n v="56035"/>
  </r>
  <r>
    <x v="0"/>
    <s v="December"/>
    <x v="11"/>
    <x v="1"/>
    <x v="1"/>
    <n v="1400000"/>
    <n v="1240909.0909090911"/>
    <n v="143181.81818181815"/>
    <n v="159090.90909090894"/>
    <n v="2100"/>
  </r>
  <r>
    <x v="0"/>
    <s v="December"/>
    <x v="11"/>
    <x v="0"/>
    <x v="0"/>
    <n v="2787540"/>
    <n v="2202156.6"/>
    <n v="526845.05999999994"/>
    <n v="585383.39999999991"/>
    <n v="2275"/>
  </r>
  <r>
    <x v="0"/>
    <s v="December"/>
    <x v="11"/>
    <x v="2"/>
    <x v="2"/>
    <n v="10675000"/>
    <n v="8575000"/>
    <n v="1890000"/>
    <n v="2100000"/>
    <n v="18375"/>
  </r>
  <r>
    <x v="0"/>
    <s v="December"/>
    <x v="11"/>
    <x v="2"/>
    <x v="2"/>
    <n v="10675000"/>
    <n v="8575000"/>
    <n v="1890000"/>
    <n v="2100000"/>
    <n v="18375"/>
  </r>
  <r>
    <x v="0"/>
    <s v="December"/>
    <x v="11"/>
    <x v="3"/>
    <x v="3"/>
    <n v="16800000"/>
    <n v="13650000"/>
    <n v="2835000"/>
    <n v="3150000"/>
    <n v="26600"/>
  </r>
  <r>
    <x v="0"/>
    <s v="December"/>
    <x v="11"/>
    <x v="3"/>
    <x v="4"/>
    <n v="75106360"/>
    <n v="54121235"/>
    <n v="18886612.5"/>
    <n v="20985125"/>
    <n v="47670"/>
  </r>
  <r>
    <x v="1"/>
    <s v="January"/>
    <x v="0"/>
    <x v="0"/>
    <x v="0"/>
    <n v="2824485.3000000003"/>
    <n v="2269486.0090000001"/>
    <n v="499499.36190000008"/>
    <n v="554999.2910000002"/>
    <n v="2156"/>
  </r>
  <r>
    <x v="1"/>
    <s v="January"/>
    <x v="0"/>
    <x v="1"/>
    <x v="1"/>
    <n v="1744166.6666666667"/>
    <n v="1500227.2727272727"/>
    <n v="219545.45454545473"/>
    <n v="243939.39393939404"/>
    <n v="2310"/>
  </r>
  <r>
    <x v="1"/>
    <s v="January"/>
    <x v="0"/>
    <x v="2"/>
    <x v="2"/>
    <n v="11025000"/>
    <n v="8750000"/>
    <n v="2047500"/>
    <n v="2275000"/>
    <n v="18900"/>
  </r>
  <r>
    <x v="1"/>
    <s v="January"/>
    <x v="0"/>
    <x v="3"/>
    <x v="3"/>
    <n v="19425000"/>
    <n v="15225000"/>
    <n v="3780000"/>
    <n v="4200000"/>
    <n v="30100"/>
  </r>
  <r>
    <x v="1"/>
    <s v="January"/>
    <x v="0"/>
    <x v="3"/>
    <x v="4"/>
    <n v="96276950"/>
    <n v="72170675.500000015"/>
    <n v="21695647.050000004"/>
    <n v="24106274.499999985"/>
    <n v="47779"/>
  </r>
  <r>
    <x v="1"/>
    <s v="February"/>
    <x v="1"/>
    <x v="1"/>
    <x v="1"/>
    <n v="1710624.9999999998"/>
    <n v="1481931.8181818181"/>
    <n v="205823.8636363635"/>
    <n v="228693.18181818165"/>
    <n v="2118"/>
  </r>
  <r>
    <x v="1"/>
    <s v="February"/>
    <x v="1"/>
    <x v="0"/>
    <x v="0"/>
    <n v="3675098.6999999997"/>
    <n v="2952957.5109999999"/>
    <n v="649927.07010000001"/>
    <n v="722141.18899999978"/>
    <n v="2965"/>
  </r>
  <r>
    <x v="1"/>
    <s v="February"/>
    <x v="1"/>
    <x v="2"/>
    <x v="2"/>
    <n v="10850000"/>
    <n v="8680000"/>
    <n v="1953000"/>
    <n v="2170000"/>
    <n v="18725"/>
  </r>
  <r>
    <x v="1"/>
    <s v="February"/>
    <x v="1"/>
    <x v="3"/>
    <x v="3"/>
    <n v="19075000"/>
    <n v="15050000"/>
    <n v="3622500"/>
    <n v="4025000"/>
    <n v="29400"/>
  </r>
  <r>
    <x v="1"/>
    <s v="February"/>
    <x v="1"/>
    <x v="3"/>
    <x v="4"/>
    <n v="101666180.00000001"/>
    <n v="76516902"/>
    <n v="22634350.200000003"/>
    <n v="25149278.000000015"/>
    <n v="52052"/>
  </r>
  <r>
    <x v="1"/>
    <s v="March"/>
    <x v="2"/>
    <x v="1"/>
    <x v="1"/>
    <n v="1442291.6666666667"/>
    <n v="1280681.8181818181"/>
    <n v="145448.86363636379"/>
    <n v="161609.84848484863"/>
    <n v="1810"/>
  </r>
  <r>
    <x v="1"/>
    <s v="March"/>
    <x v="2"/>
    <x v="0"/>
    <x v="0"/>
    <n v="3097130.3999999994"/>
    <n v="2488557.5120000001"/>
    <n v="547715.59919999947"/>
    <n v="608572.88799999934"/>
    <n v="2657"/>
  </r>
  <r>
    <x v="1"/>
    <s v="March"/>
    <x v="2"/>
    <x v="2"/>
    <x v="2"/>
    <n v="10675000"/>
    <n v="8575000"/>
    <n v="1890000"/>
    <n v="2100000"/>
    <n v="18375"/>
  </r>
  <r>
    <x v="1"/>
    <s v="March"/>
    <x v="2"/>
    <x v="3"/>
    <x v="3"/>
    <n v="16100000"/>
    <n v="12950000"/>
    <n v="2835000"/>
    <n v="3150000"/>
    <n v="24850"/>
  </r>
  <r>
    <x v="1"/>
    <s v="March"/>
    <x v="2"/>
    <x v="3"/>
    <x v="4"/>
    <n v="103901605.50000001"/>
    <n v="73366755.000000015"/>
    <n v="27481365.450000003"/>
    <n v="30534850.5"/>
    <n v="52591"/>
  </r>
  <r>
    <x v="1"/>
    <s v="April"/>
    <x v="3"/>
    <x v="1"/>
    <x v="1"/>
    <n v="1408750"/>
    <n v="1262386.3636363635"/>
    <n v="131727.27272727279"/>
    <n v="146363.63636363647"/>
    <n v="2272"/>
  </r>
  <r>
    <x v="1"/>
    <s v="April"/>
    <x v="3"/>
    <x v="0"/>
    <x v="0"/>
    <n v="3249996.7499999995"/>
    <n v="2611386.2774999999"/>
    <n v="584999.41499999992"/>
    <n v="638610.47249999968"/>
    <n v="2734"/>
  </r>
  <r>
    <x v="1"/>
    <s v="April"/>
    <x v="3"/>
    <x v="2"/>
    <x v="2"/>
    <n v="10780000"/>
    <n v="8610000"/>
    <n v="1953000"/>
    <n v="2170000"/>
    <n v="18550"/>
  </r>
  <r>
    <x v="1"/>
    <s v="April"/>
    <x v="3"/>
    <x v="3"/>
    <x v="3"/>
    <n v="15925000"/>
    <n v="12775000"/>
    <n v="2835000"/>
    <n v="3150000"/>
    <n v="24500"/>
  </r>
  <r>
    <x v="1"/>
    <s v="April"/>
    <x v="3"/>
    <x v="3"/>
    <x v="4"/>
    <n v="92981773.5"/>
    <n v="76247325"/>
    <n v="15061003.65"/>
    <n v="16734448.5"/>
    <n v="46200"/>
  </r>
  <r>
    <x v="1"/>
    <s v="May"/>
    <x v="4"/>
    <x v="1"/>
    <x v="1"/>
    <n v="1475833.3333333333"/>
    <n v="1317272.7272727271"/>
    <n v="142704.5454545455"/>
    <n v="158560.60606060619"/>
    <n v="1964"/>
  </r>
  <r>
    <x v="1"/>
    <s v="May"/>
    <x v="4"/>
    <x v="0"/>
    <x v="0"/>
    <n v="3335623.1999999997"/>
    <n v="2680187.4960000003"/>
    <n v="589892.13359999959"/>
    <n v="655435.70399999944"/>
    <n v="2811"/>
  </r>
  <r>
    <x v="1"/>
    <s v="May"/>
    <x v="4"/>
    <x v="2"/>
    <x v="2"/>
    <n v="10920000"/>
    <n v="8715000"/>
    <n v="1984500"/>
    <n v="2205000"/>
    <n v="18725"/>
  </r>
  <r>
    <x v="1"/>
    <s v="May"/>
    <x v="4"/>
    <x v="3"/>
    <x v="3"/>
    <n v="16450000"/>
    <n v="13300000"/>
    <n v="2835000"/>
    <n v="3150000"/>
    <n v="25550"/>
  </r>
  <r>
    <x v="1"/>
    <s v="May"/>
    <x v="4"/>
    <x v="3"/>
    <x v="4"/>
    <n v="80949676.500000015"/>
    <n v="68705906.5"/>
    <n v="11019393"/>
    <n v="12243770.000000015"/>
    <n v="39424"/>
  </r>
  <r>
    <x v="1"/>
    <s v="June"/>
    <x v="5"/>
    <x v="0"/>
    <x v="0"/>
    <n v="2516623.1999999997"/>
    <n v="2022117.496"/>
    <n v="445055.13359999959"/>
    <n v="494505.70399999968"/>
    <n v="2118"/>
  </r>
  <r>
    <x v="1"/>
    <s v="June"/>
    <x v="5"/>
    <x v="1"/>
    <x v="1"/>
    <n v="1878333.333333333"/>
    <n v="1628295.4545454546"/>
    <n v="225034.09090909065"/>
    <n v="250037.87878787844"/>
    <n v="2426"/>
  </r>
  <r>
    <x v="1"/>
    <s v="June"/>
    <x v="5"/>
    <x v="2"/>
    <x v="2"/>
    <n v="11200000"/>
    <n v="8925000"/>
    <n v="2047500"/>
    <n v="2275000"/>
    <n v="19075"/>
  </r>
  <r>
    <x v="1"/>
    <s v="June"/>
    <x v="5"/>
    <x v="3"/>
    <x v="3"/>
    <n v="21000000"/>
    <n v="16625000"/>
    <n v="3937500"/>
    <n v="4375000"/>
    <n v="32550"/>
  </r>
  <r>
    <x v="1"/>
    <s v="June"/>
    <x v="5"/>
    <x v="3"/>
    <x v="4"/>
    <n v="89924373.000000015"/>
    <n v="63813326.500000007"/>
    <n v="23499941.850000001"/>
    <n v="26111046.500000007"/>
    <n v="48356"/>
  </r>
  <r>
    <x v="1"/>
    <s v="July"/>
    <x v="6"/>
    <x v="0"/>
    <x v="0"/>
    <n v="2886401.6999999997"/>
    <n v="2319236.1010000003"/>
    <n v="510449.0390999997"/>
    <n v="567165.59899999946"/>
    <n v="2387"/>
  </r>
  <r>
    <x v="1"/>
    <s v="July"/>
    <x v="6"/>
    <x v="1"/>
    <x v="1"/>
    <n v="1978958.333333333"/>
    <n v="1719772.7272727271"/>
    <n v="233267.0454545453"/>
    <n v="259185.60606060596"/>
    <n v="2541"/>
  </r>
  <r>
    <x v="1"/>
    <s v="July"/>
    <x v="6"/>
    <x v="2"/>
    <x v="2"/>
    <n v="11375000"/>
    <n v="9030000"/>
    <n v="2110500"/>
    <n v="2345000"/>
    <n v="19250"/>
  </r>
  <r>
    <x v="1"/>
    <s v="July"/>
    <x v="6"/>
    <x v="3"/>
    <x v="3"/>
    <n v="22050000"/>
    <n v="17500000"/>
    <n v="3748500.0000000005"/>
    <n v="4550000"/>
    <n v="33950"/>
  </r>
  <r>
    <x v="1"/>
    <s v="July"/>
    <x v="6"/>
    <x v="3"/>
    <x v="4"/>
    <n v="90811682.5"/>
    <n v="72169135.500000015"/>
    <n v="20886686.975000001"/>
    <n v="18642546.999999985"/>
    <n v="53477"/>
  </r>
  <r>
    <x v="1"/>
    <s v="August"/>
    <x v="7"/>
    <x v="1"/>
    <x v="1"/>
    <n v="1945416.6666666665"/>
    <n v="1701477.2727272727"/>
    <n v="219545.4545454545"/>
    <n v="243939.39393939381"/>
    <n v="2349"/>
  </r>
  <r>
    <x v="1"/>
    <s v="August"/>
    <x v="7"/>
    <x v="0"/>
    <x v="0"/>
    <n v="2959169.8499999996"/>
    <n v="2377705.6204999997"/>
    <n v="523317.80654999992"/>
    <n v="581464.2294999999"/>
    <n v="2541"/>
  </r>
  <r>
    <x v="1"/>
    <s v="August"/>
    <x v="7"/>
    <x v="2"/>
    <x v="2"/>
    <n v="11305000"/>
    <n v="8995000"/>
    <n v="2079000"/>
    <n v="2310000"/>
    <n v="19180"/>
  </r>
  <r>
    <x v="1"/>
    <s v="August"/>
    <x v="7"/>
    <x v="3"/>
    <x v="3"/>
    <n v="21700000"/>
    <n v="17325000"/>
    <n v="3937500"/>
    <n v="4375000"/>
    <n v="33600"/>
  </r>
  <r>
    <x v="1"/>
    <s v="August"/>
    <x v="7"/>
    <x v="3"/>
    <x v="4"/>
    <n v="88555582.5"/>
    <n v="65048175.5"/>
    <n v="21156666.300000001"/>
    <n v="23507407"/>
    <n v="50897"/>
  </r>
  <r>
    <x v="1"/>
    <s v="September"/>
    <x v="8"/>
    <x v="1"/>
    <x v="1"/>
    <n v="1542916.6666666667"/>
    <n v="1372159.0909090906"/>
    <n v="153681.81818181844"/>
    <n v="170757.57575757615"/>
    <n v="2195"/>
  </r>
  <r>
    <x v="1"/>
    <s v="September"/>
    <x v="8"/>
    <x v="0"/>
    <x v="0"/>
    <n v="2997990.4499999997"/>
    <n v="2408898.1384999999"/>
    <n v="530183.08034999995"/>
    <n v="589092.31149999984"/>
    <n v="2349"/>
  </r>
  <r>
    <x v="1"/>
    <s v="September"/>
    <x v="8"/>
    <x v="2"/>
    <x v="2"/>
    <n v="11130000"/>
    <n v="8820000"/>
    <n v="2079000"/>
    <n v="2310000"/>
    <n v="18900"/>
  </r>
  <r>
    <x v="1"/>
    <s v="September"/>
    <x v="8"/>
    <x v="3"/>
    <x v="3"/>
    <n v="17150000"/>
    <n v="13825000"/>
    <n v="2992500"/>
    <n v="3325000"/>
    <n v="26600"/>
  </r>
  <r>
    <x v="1"/>
    <s v="September"/>
    <x v="8"/>
    <x v="3"/>
    <x v="4"/>
    <n v="99268977.5"/>
    <n v="76517325.500000015"/>
    <n v="20476486.800000004"/>
    <n v="22751651.999999985"/>
    <n v="61523"/>
  </r>
  <r>
    <x v="1"/>
    <s v="October"/>
    <x v="9"/>
    <x v="1"/>
    <x v="1"/>
    <n v="1509375"/>
    <n v="1353863.6363636365"/>
    <n v="139960.22727272721"/>
    <n v="155511.36363636353"/>
    <n v="2272"/>
  </r>
  <r>
    <x v="1"/>
    <s v="October"/>
    <x v="9"/>
    <x v="0"/>
    <x v="0"/>
    <n v="3321904.9499999997"/>
    <n v="2669164.8234999999"/>
    <n v="587466.11384999962"/>
    <n v="652740.12649999978"/>
    <n v="2772"/>
  </r>
  <r>
    <x v="1"/>
    <s v="October"/>
    <x v="9"/>
    <x v="2"/>
    <x v="2"/>
    <n v="11025000"/>
    <n v="8750000"/>
    <n v="2047500"/>
    <n v="2275000"/>
    <n v="18830"/>
  </r>
  <r>
    <x v="1"/>
    <s v="October"/>
    <x v="9"/>
    <x v="3"/>
    <x v="3"/>
    <n v="16800000"/>
    <n v="13650000"/>
    <n v="2835000"/>
    <n v="3150000"/>
    <n v="26250"/>
  </r>
  <r>
    <x v="1"/>
    <s v="October"/>
    <x v="9"/>
    <x v="3"/>
    <x v="4"/>
    <n v="98940149.000000015"/>
    <n v="68706946"/>
    <n v="27209882.700000003"/>
    <n v="30233203.000000015"/>
    <n v="64950"/>
  </r>
  <r>
    <x v="1"/>
    <s v="November"/>
    <x v="10"/>
    <x v="1"/>
    <x v="1"/>
    <n v="1475833.3333333333"/>
    <n v="1335568.1818181819"/>
    <n v="126238.63636363621"/>
    <n v="140265.15151515137"/>
    <n v="2618"/>
  </r>
  <r>
    <x v="1"/>
    <s v="November"/>
    <x v="10"/>
    <x v="0"/>
    <x v="0"/>
    <n v="3424320.8999999994"/>
    <n v="2751456.477"/>
    <n v="605577.98069999984"/>
    <n v="672864.42299999949"/>
    <n v="2695"/>
  </r>
  <r>
    <x v="1"/>
    <s v="November"/>
    <x v="10"/>
    <x v="2"/>
    <x v="2"/>
    <n v="10920000"/>
    <n v="8680000"/>
    <n v="2016000"/>
    <n v="2240000"/>
    <n v="18725"/>
  </r>
  <r>
    <x v="1"/>
    <s v="November"/>
    <x v="10"/>
    <x v="3"/>
    <x v="3"/>
    <n v="16450000"/>
    <n v="13475000"/>
    <n v="2677500"/>
    <n v="2975000"/>
    <n v="25900"/>
  </r>
  <r>
    <x v="1"/>
    <s v="November"/>
    <x v="10"/>
    <x v="3"/>
    <x v="4"/>
    <n v="95771175.500000015"/>
    <n v="63869228.5"/>
    <n v="28711752.300000001"/>
    <n v="31901947.000000015"/>
    <n v="61639"/>
  </r>
  <r>
    <x v="1"/>
    <s v="December"/>
    <x v="11"/>
    <x v="1"/>
    <x v="1"/>
    <n v="1610000"/>
    <n v="1427045.4545454546"/>
    <n v="164659.09090909091"/>
    <n v="182954.54545454541"/>
    <n v="2310"/>
  </r>
  <r>
    <x v="1"/>
    <s v="December"/>
    <x v="11"/>
    <x v="0"/>
    <x v="0"/>
    <n v="3261421.8"/>
    <n v="2620566.3539999998"/>
    <n v="576769.90139999997"/>
    <n v="640855.446"/>
    <n v="2503"/>
  </r>
  <r>
    <x v="1"/>
    <s v="December"/>
    <x v="11"/>
    <x v="2"/>
    <x v="2"/>
    <n v="11200000"/>
    <n v="8925000"/>
    <n v="2016000"/>
    <n v="2275000"/>
    <n v="19075"/>
  </r>
  <r>
    <x v="1"/>
    <s v="December"/>
    <x v="11"/>
    <x v="3"/>
    <x v="3"/>
    <n v="17850000"/>
    <n v="14350000"/>
    <n v="3150000"/>
    <n v="3500000"/>
    <n v="28000"/>
  </r>
  <r>
    <x v="1"/>
    <s v="December"/>
    <x v="11"/>
    <x v="3"/>
    <x v="4"/>
    <n v="82616996"/>
    <n v="59533358.5"/>
    <n v="20775273.75"/>
    <n v="23083637.5"/>
    <n v="524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B1E1FC-B55C-4743-8ED8-892F2C193F9D}" name="Tabela przestawna2" cacheId="0"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19">
  <location ref="A140:F168" firstHeaderRow="1" firstDataRow="2" firstDataCol="1"/>
  <pivotFields count="11">
    <pivotField axis="axisRow" showAll="0">
      <items count="3">
        <item x="0"/>
        <item x="1"/>
        <item t="default"/>
      </items>
    </pivotField>
    <pivotField showAll="0"/>
    <pivotField axis="axisRow" showAll="0">
      <items count="13">
        <item x="0"/>
        <item x="1"/>
        <item x="2"/>
        <item x="3"/>
        <item x="4"/>
        <item x="5"/>
        <item x="6"/>
        <item x="7"/>
        <item x="8"/>
        <item x="9"/>
        <item x="10"/>
        <item x="11"/>
        <item t="default"/>
      </items>
    </pivotField>
    <pivotField axis="axisCol" showAll="0">
      <items count="5">
        <item x="1"/>
        <item x="3"/>
        <item x="2"/>
        <item x="0"/>
        <item t="default"/>
      </items>
    </pivotField>
    <pivotField showAll="0"/>
    <pivotField numFmtId="3" showAll="0"/>
    <pivotField numFmtId="3" showAll="0"/>
    <pivotField numFmtId="3" showAll="0"/>
    <pivotField dataField="1" numFmtId="3" showAll="0"/>
    <pivotField showAll="0"/>
    <pivotField dragToRow="0" dragToCol="0" dragToPage="0" showAll="0" defaultSubtotal="0"/>
  </pivotFields>
  <rowFields count="2">
    <field x="0"/>
    <field x="2"/>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Fields count="1">
    <field x="3"/>
  </colFields>
  <colItems count="5">
    <i>
      <x/>
    </i>
    <i>
      <x v="1"/>
    </i>
    <i>
      <x v="2"/>
    </i>
    <i>
      <x v="3"/>
    </i>
    <i t="grand">
      <x/>
    </i>
  </colItems>
  <dataFields count="1">
    <dataField name="Suma z Margin2" fld="8" baseField="0" baseItem="0" numFmtId="3"/>
  </dataFields>
  <chartFormats count="54">
    <chartFormat chart="0" format="0" series="1">
      <pivotArea type="data" outline="0" fieldPosition="0">
        <references count="3">
          <reference field="4294967294" count="1" selected="0">
            <x v="0"/>
          </reference>
          <reference field="0" count="1" selected="0">
            <x v="0"/>
          </reference>
          <reference field="2" count="1" selected="0">
            <x v="0"/>
          </reference>
        </references>
      </pivotArea>
    </chartFormat>
    <chartFormat chart="0" format="1" series="1">
      <pivotArea type="data" outline="0" fieldPosition="0">
        <references count="3">
          <reference field="4294967294" count="1" selected="0">
            <x v="0"/>
          </reference>
          <reference field="0" count="1" selected="0">
            <x v="0"/>
          </reference>
          <reference field="2" count="1" selected="0">
            <x v="1"/>
          </reference>
        </references>
      </pivotArea>
    </chartFormat>
    <chartFormat chart="0" format="2" series="1">
      <pivotArea type="data" outline="0" fieldPosition="0">
        <references count="3">
          <reference field="4294967294" count="1" selected="0">
            <x v="0"/>
          </reference>
          <reference field="0" count="1" selected="0">
            <x v="0"/>
          </reference>
          <reference field="2" count="1" selected="0">
            <x v="2"/>
          </reference>
        </references>
      </pivotArea>
    </chartFormat>
    <chartFormat chart="0" format="3" series="1">
      <pivotArea type="data" outline="0" fieldPosition="0">
        <references count="3">
          <reference field="4294967294" count="1" selected="0">
            <x v="0"/>
          </reference>
          <reference field="0" count="1" selected="0">
            <x v="0"/>
          </reference>
          <reference field="2" count="1" selected="0">
            <x v="3"/>
          </reference>
        </references>
      </pivotArea>
    </chartFormat>
    <chartFormat chart="0" format="4" series="1">
      <pivotArea type="data" outline="0" fieldPosition="0">
        <references count="3">
          <reference field="4294967294" count="1" selected="0">
            <x v="0"/>
          </reference>
          <reference field="0" count="1" selected="0">
            <x v="0"/>
          </reference>
          <reference field="2" count="1" selected="0">
            <x v="4"/>
          </reference>
        </references>
      </pivotArea>
    </chartFormat>
    <chartFormat chart="0" format="5" series="1">
      <pivotArea type="data" outline="0" fieldPosition="0">
        <references count="3">
          <reference field="4294967294" count="1" selected="0">
            <x v="0"/>
          </reference>
          <reference field="0" count="1" selected="0">
            <x v="0"/>
          </reference>
          <reference field="2" count="1" selected="0">
            <x v="5"/>
          </reference>
        </references>
      </pivotArea>
    </chartFormat>
    <chartFormat chart="0" format="6" series="1">
      <pivotArea type="data" outline="0" fieldPosition="0">
        <references count="3">
          <reference field="4294967294" count="1" selected="0">
            <x v="0"/>
          </reference>
          <reference field="0" count="1" selected="0">
            <x v="0"/>
          </reference>
          <reference field="2" count="1" selected="0">
            <x v="6"/>
          </reference>
        </references>
      </pivotArea>
    </chartFormat>
    <chartFormat chart="0" format="7" series="1">
      <pivotArea type="data" outline="0" fieldPosition="0">
        <references count="3">
          <reference field="4294967294" count="1" selected="0">
            <x v="0"/>
          </reference>
          <reference field="0" count="1" selected="0">
            <x v="0"/>
          </reference>
          <reference field="2" count="1" selected="0">
            <x v="7"/>
          </reference>
        </references>
      </pivotArea>
    </chartFormat>
    <chartFormat chart="0" format="8" series="1">
      <pivotArea type="data" outline="0" fieldPosition="0">
        <references count="3">
          <reference field="4294967294" count="1" selected="0">
            <x v="0"/>
          </reference>
          <reference field="0" count="1" selected="0">
            <x v="0"/>
          </reference>
          <reference field="2" count="1" selected="0">
            <x v="8"/>
          </reference>
        </references>
      </pivotArea>
    </chartFormat>
    <chartFormat chart="0" format="9" series="1">
      <pivotArea type="data" outline="0" fieldPosition="0">
        <references count="3">
          <reference field="4294967294" count="1" selected="0">
            <x v="0"/>
          </reference>
          <reference field="0" count="1" selected="0">
            <x v="0"/>
          </reference>
          <reference field="2" count="1" selected="0">
            <x v="9"/>
          </reference>
        </references>
      </pivotArea>
    </chartFormat>
    <chartFormat chart="0" format="10" series="1">
      <pivotArea type="data" outline="0" fieldPosition="0">
        <references count="3">
          <reference field="4294967294" count="1" selected="0">
            <x v="0"/>
          </reference>
          <reference field="0" count="1" selected="0">
            <x v="0"/>
          </reference>
          <reference field="2" count="1" selected="0">
            <x v="10"/>
          </reference>
        </references>
      </pivotArea>
    </chartFormat>
    <chartFormat chart="0" format="11" series="1">
      <pivotArea type="data" outline="0" fieldPosition="0">
        <references count="3">
          <reference field="4294967294" count="1" selected="0">
            <x v="0"/>
          </reference>
          <reference field="0" count="1" selected="0">
            <x v="0"/>
          </reference>
          <reference field="2" count="1" selected="0">
            <x v="11"/>
          </reference>
        </references>
      </pivotArea>
    </chartFormat>
    <chartFormat chart="0" format="12" series="1">
      <pivotArea type="data" outline="0" fieldPosition="0">
        <references count="3">
          <reference field="4294967294" count="1" selected="0">
            <x v="0"/>
          </reference>
          <reference field="0" count="1" selected="0">
            <x v="1"/>
          </reference>
          <reference field="2" count="1" selected="0">
            <x v="0"/>
          </reference>
        </references>
      </pivotArea>
    </chartFormat>
    <chartFormat chart="0" format="13" series="1">
      <pivotArea type="data" outline="0" fieldPosition="0">
        <references count="3">
          <reference field="4294967294" count="1" selected="0">
            <x v="0"/>
          </reference>
          <reference field="0" count="1" selected="0">
            <x v="1"/>
          </reference>
          <reference field="2" count="1" selected="0">
            <x v="1"/>
          </reference>
        </references>
      </pivotArea>
    </chartFormat>
    <chartFormat chart="0" format="14" series="1">
      <pivotArea type="data" outline="0" fieldPosition="0">
        <references count="3">
          <reference field="4294967294" count="1" selected="0">
            <x v="0"/>
          </reference>
          <reference field="0" count="1" selected="0">
            <x v="1"/>
          </reference>
          <reference field="2" count="1" selected="0">
            <x v="2"/>
          </reference>
        </references>
      </pivotArea>
    </chartFormat>
    <chartFormat chart="0" format="15" series="1">
      <pivotArea type="data" outline="0" fieldPosition="0">
        <references count="3">
          <reference field="4294967294" count="1" selected="0">
            <x v="0"/>
          </reference>
          <reference field="0" count="1" selected="0">
            <x v="1"/>
          </reference>
          <reference field="2" count="1" selected="0">
            <x v="3"/>
          </reference>
        </references>
      </pivotArea>
    </chartFormat>
    <chartFormat chart="0" format="16" series="1">
      <pivotArea type="data" outline="0" fieldPosition="0">
        <references count="3">
          <reference field="4294967294" count="1" selected="0">
            <x v="0"/>
          </reference>
          <reference field="0" count="1" selected="0">
            <x v="1"/>
          </reference>
          <reference field="2" count="1" selected="0">
            <x v="4"/>
          </reference>
        </references>
      </pivotArea>
    </chartFormat>
    <chartFormat chart="0" format="17" series="1">
      <pivotArea type="data" outline="0" fieldPosition="0">
        <references count="3">
          <reference field="4294967294" count="1" selected="0">
            <x v="0"/>
          </reference>
          <reference field="0" count="1" selected="0">
            <x v="1"/>
          </reference>
          <reference field="2" count="1" selected="0">
            <x v="5"/>
          </reference>
        </references>
      </pivotArea>
    </chartFormat>
    <chartFormat chart="0" format="18" series="1">
      <pivotArea type="data" outline="0" fieldPosition="0">
        <references count="3">
          <reference field="4294967294" count="1" selected="0">
            <x v="0"/>
          </reference>
          <reference field="0" count="1" selected="0">
            <x v="1"/>
          </reference>
          <reference field="2" count="1" selected="0">
            <x v="6"/>
          </reference>
        </references>
      </pivotArea>
    </chartFormat>
    <chartFormat chart="0" format="19" series="1">
      <pivotArea type="data" outline="0" fieldPosition="0">
        <references count="3">
          <reference field="4294967294" count="1" selected="0">
            <x v="0"/>
          </reference>
          <reference field="0" count="1" selected="0">
            <x v="1"/>
          </reference>
          <reference field="2" count="1" selected="0">
            <x v="7"/>
          </reference>
        </references>
      </pivotArea>
    </chartFormat>
    <chartFormat chart="0" format="20" series="1">
      <pivotArea type="data" outline="0" fieldPosition="0">
        <references count="3">
          <reference field="4294967294" count="1" selected="0">
            <x v="0"/>
          </reference>
          <reference field="0" count="1" selected="0">
            <x v="1"/>
          </reference>
          <reference field="2" count="1" selected="0">
            <x v="8"/>
          </reference>
        </references>
      </pivotArea>
    </chartFormat>
    <chartFormat chart="0" format="21" series="1">
      <pivotArea type="data" outline="0" fieldPosition="0">
        <references count="3">
          <reference field="4294967294" count="1" selected="0">
            <x v="0"/>
          </reference>
          <reference field="0" count="1" selected="0">
            <x v="1"/>
          </reference>
          <reference field="2" count="1" selected="0">
            <x v="9"/>
          </reference>
        </references>
      </pivotArea>
    </chartFormat>
    <chartFormat chart="0" format="22" series="1">
      <pivotArea type="data" outline="0" fieldPosition="0">
        <references count="3">
          <reference field="4294967294" count="1" selected="0">
            <x v="0"/>
          </reference>
          <reference field="0" count="1" selected="0">
            <x v="1"/>
          </reference>
          <reference field="2" count="1" selected="0">
            <x v="10"/>
          </reference>
        </references>
      </pivotArea>
    </chartFormat>
    <chartFormat chart="0" format="23" series="1">
      <pivotArea type="data" outline="0" fieldPosition="0">
        <references count="3">
          <reference field="4294967294" count="1" selected="0">
            <x v="0"/>
          </reference>
          <reference field="0" count="1" selected="0">
            <x v="1"/>
          </reference>
          <reference field="2" count="1" selected="0">
            <x v="11"/>
          </reference>
        </references>
      </pivotArea>
    </chartFormat>
    <chartFormat chart="0" format="24" series="1">
      <pivotArea type="data" outline="0" fieldPosition="0">
        <references count="2">
          <reference field="4294967294" count="1" selected="0">
            <x v="0"/>
          </reference>
          <reference field="2" count="1" selected="0">
            <x v="0"/>
          </reference>
        </references>
      </pivotArea>
    </chartFormat>
    <chartFormat chart="0" format="25" series="1">
      <pivotArea type="data" outline="0" fieldPosition="0">
        <references count="2">
          <reference field="4294967294" count="1" selected="0">
            <x v="0"/>
          </reference>
          <reference field="2" count="1" selected="0">
            <x v="1"/>
          </reference>
        </references>
      </pivotArea>
    </chartFormat>
    <chartFormat chart="0" format="26" series="1">
      <pivotArea type="data" outline="0" fieldPosition="0">
        <references count="2">
          <reference field="4294967294" count="1" selected="0">
            <x v="0"/>
          </reference>
          <reference field="2" count="1" selected="0">
            <x v="2"/>
          </reference>
        </references>
      </pivotArea>
    </chartFormat>
    <chartFormat chart="0" format="27" series="1">
      <pivotArea type="data" outline="0" fieldPosition="0">
        <references count="2">
          <reference field="4294967294" count="1" selected="0">
            <x v="0"/>
          </reference>
          <reference field="2" count="1" selected="0">
            <x v="3"/>
          </reference>
        </references>
      </pivotArea>
    </chartFormat>
    <chartFormat chart="0" format="28" series="1">
      <pivotArea type="data" outline="0" fieldPosition="0">
        <references count="2">
          <reference field="4294967294" count="1" selected="0">
            <x v="0"/>
          </reference>
          <reference field="2" count="1" selected="0">
            <x v="4"/>
          </reference>
        </references>
      </pivotArea>
    </chartFormat>
    <chartFormat chart="0" format="29" series="1">
      <pivotArea type="data" outline="0" fieldPosition="0">
        <references count="2">
          <reference field="4294967294" count="1" selected="0">
            <x v="0"/>
          </reference>
          <reference field="2" count="1" selected="0">
            <x v="5"/>
          </reference>
        </references>
      </pivotArea>
    </chartFormat>
    <chartFormat chart="0" format="30" series="1">
      <pivotArea type="data" outline="0" fieldPosition="0">
        <references count="2">
          <reference field="4294967294" count="1" selected="0">
            <x v="0"/>
          </reference>
          <reference field="2" count="1" selected="0">
            <x v="6"/>
          </reference>
        </references>
      </pivotArea>
    </chartFormat>
    <chartFormat chart="0" format="31" series="1">
      <pivotArea type="data" outline="0" fieldPosition="0">
        <references count="2">
          <reference field="4294967294" count="1" selected="0">
            <x v="0"/>
          </reference>
          <reference field="2" count="1" selected="0">
            <x v="7"/>
          </reference>
        </references>
      </pivotArea>
    </chartFormat>
    <chartFormat chart="0" format="32" series="1">
      <pivotArea type="data" outline="0" fieldPosition="0">
        <references count="2">
          <reference field="4294967294" count="1" selected="0">
            <x v="0"/>
          </reference>
          <reference field="2" count="1" selected="0">
            <x v="8"/>
          </reference>
        </references>
      </pivotArea>
    </chartFormat>
    <chartFormat chart="0" format="33" series="1">
      <pivotArea type="data" outline="0" fieldPosition="0">
        <references count="2">
          <reference field="4294967294" count="1" selected="0">
            <x v="0"/>
          </reference>
          <reference field="2" count="1" selected="0">
            <x v="9"/>
          </reference>
        </references>
      </pivotArea>
    </chartFormat>
    <chartFormat chart="0" format="34" series="1">
      <pivotArea type="data" outline="0" fieldPosition="0">
        <references count="2">
          <reference field="4294967294" count="1" selected="0">
            <x v="0"/>
          </reference>
          <reference field="2" count="1" selected="0">
            <x v="10"/>
          </reference>
        </references>
      </pivotArea>
    </chartFormat>
    <chartFormat chart="0" format="35" series="1">
      <pivotArea type="data" outline="0" fieldPosition="0">
        <references count="2">
          <reference field="4294967294" count="1" selected="0">
            <x v="0"/>
          </reference>
          <reference field="2" count="1" selected="0">
            <x v="11"/>
          </reference>
        </references>
      </pivotArea>
    </chartFormat>
    <chartFormat chart="0" format="36" series="1">
      <pivotArea type="data" outline="0" fieldPosition="0">
        <references count="1">
          <reference field="4294967294" count="1" selected="0">
            <x v="0"/>
          </reference>
        </references>
      </pivotArea>
    </chartFormat>
    <chartFormat chart="0" format="37" series="1">
      <pivotArea type="data" outline="0" fieldPosition="0">
        <references count="2">
          <reference field="4294967294" count="1" selected="0">
            <x v="0"/>
          </reference>
          <reference field="3" count="1" selected="0">
            <x v="1"/>
          </reference>
        </references>
      </pivotArea>
    </chartFormat>
    <chartFormat chart="0" format="38" series="1">
      <pivotArea type="data" outline="0" fieldPosition="0">
        <references count="2">
          <reference field="4294967294" count="1" selected="0">
            <x v="0"/>
          </reference>
          <reference field="3" count="1" selected="0">
            <x v="2"/>
          </reference>
        </references>
      </pivotArea>
    </chartFormat>
    <chartFormat chart="0" format="39" series="1">
      <pivotArea type="data" outline="0" fieldPosition="0">
        <references count="2">
          <reference field="4294967294" count="1" selected="0">
            <x v="0"/>
          </reference>
          <reference field="3" count="1" selected="0">
            <x v="3"/>
          </reference>
        </references>
      </pivotArea>
    </chartFormat>
    <chartFormat chart="0" format="40" series="1">
      <pivotArea type="data" outline="0" fieldPosition="0">
        <references count="2">
          <reference field="4294967294" count="1" selected="0">
            <x v="0"/>
          </reference>
          <reference field="3" count="1" selected="0">
            <x v="0"/>
          </reference>
        </references>
      </pivotArea>
    </chartFormat>
    <chartFormat chart="0" format="41">
      <pivotArea type="data" outline="0" fieldPosition="0">
        <references count="4">
          <reference field="4294967294" count="1" selected="0">
            <x v="0"/>
          </reference>
          <reference field="0" count="1" selected="0">
            <x v="1"/>
          </reference>
          <reference field="2" count="1" selected="0">
            <x v="6"/>
          </reference>
          <reference field="3" count="1" selected="0">
            <x v="1"/>
          </reference>
        </references>
      </pivotArea>
    </chartFormat>
    <chartFormat chart="11" format="46" series="1">
      <pivotArea type="data" outline="0" fieldPosition="0">
        <references count="2">
          <reference field="4294967294" count="1" selected="0">
            <x v="0"/>
          </reference>
          <reference field="3" count="1" selected="0">
            <x v="0"/>
          </reference>
        </references>
      </pivotArea>
    </chartFormat>
    <chartFormat chart="11" format="47" series="1">
      <pivotArea type="data" outline="0" fieldPosition="0">
        <references count="2">
          <reference field="4294967294" count="1" selected="0">
            <x v="0"/>
          </reference>
          <reference field="3" count="1" selected="0">
            <x v="1"/>
          </reference>
        </references>
      </pivotArea>
    </chartFormat>
    <chartFormat chart="11" format="48" series="1">
      <pivotArea type="data" outline="0" fieldPosition="0">
        <references count="2">
          <reference field="4294967294" count="1" selected="0">
            <x v="0"/>
          </reference>
          <reference field="3" count="1" selected="0">
            <x v="2"/>
          </reference>
        </references>
      </pivotArea>
    </chartFormat>
    <chartFormat chart="11" format="49" series="1">
      <pivotArea type="data" outline="0" fieldPosition="0">
        <references count="2">
          <reference field="4294967294" count="1" selected="0">
            <x v="0"/>
          </reference>
          <reference field="3" count="1" selected="0">
            <x v="3"/>
          </reference>
        </references>
      </pivotArea>
    </chartFormat>
    <chartFormat chart="12" format="0" series="1">
      <pivotArea type="data" outline="0" fieldPosition="0">
        <references count="2">
          <reference field="4294967294" count="1" selected="0">
            <x v="0"/>
          </reference>
          <reference field="3" count="1" selected="0">
            <x v="0"/>
          </reference>
        </references>
      </pivotArea>
    </chartFormat>
    <chartFormat chart="12" format="1" series="1">
      <pivotArea type="data" outline="0" fieldPosition="0">
        <references count="2">
          <reference field="4294967294" count="1" selected="0">
            <x v="0"/>
          </reference>
          <reference field="3" count="1" selected="0">
            <x v="1"/>
          </reference>
        </references>
      </pivotArea>
    </chartFormat>
    <chartFormat chart="12" format="2" series="1">
      <pivotArea type="data" outline="0" fieldPosition="0">
        <references count="2">
          <reference field="4294967294" count="1" selected="0">
            <x v="0"/>
          </reference>
          <reference field="3" count="1" selected="0">
            <x v="2"/>
          </reference>
        </references>
      </pivotArea>
    </chartFormat>
    <chartFormat chart="12" format="3" series="1">
      <pivotArea type="data" outline="0" fieldPosition="0">
        <references count="2">
          <reference field="4294967294" count="1" selected="0">
            <x v="0"/>
          </reference>
          <reference field="3" count="1" selected="0">
            <x v="3"/>
          </reference>
        </references>
      </pivotArea>
    </chartFormat>
    <chartFormat chart="18" format="8" series="1">
      <pivotArea type="data" outline="0" fieldPosition="0">
        <references count="2">
          <reference field="4294967294" count="1" selected="0">
            <x v="0"/>
          </reference>
          <reference field="3" count="1" selected="0">
            <x v="0"/>
          </reference>
        </references>
      </pivotArea>
    </chartFormat>
    <chartFormat chart="18" format="9" series="1">
      <pivotArea type="data" outline="0" fieldPosition="0">
        <references count="2">
          <reference field="4294967294" count="1" selected="0">
            <x v="0"/>
          </reference>
          <reference field="3" count="1" selected="0">
            <x v="1"/>
          </reference>
        </references>
      </pivotArea>
    </chartFormat>
    <chartFormat chart="18" format="10" series="1">
      <pivotArea type="data" outline="0" fieldPosition="0">
        <references count="2">
          <reference field="4294967294" count="1" selected="0">
            <x v="0"/>
          </reference>
          <reference field="3" count="1" selected="0">
            <x v="2"/>
          </reference>
        </references>
      </pivotArea>
    </chartFormat>
    <chartFormat chart="18" format="11"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B58B26-F19C-4BDA-9555-B3FD7EB54E31}" name="Tabela przestawna7" cacheId="0"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24" colHeaderCaption="YEAR">
  <location ref="A14:D22" firstHeaderRow="1" firstDataRow="3" firstDataCol="1"/>
  <pivotFields count="11">
    <pivotField axis="axisCol" showAll="0">
      <items count="3">
        <item sd="0" x="0"/>
        <item sd="0" x="1"/>
        <item t="default"/>
      </items>
    </pivotField>
    <pivotField showAll="0"/>
    <pivotField axis="axisCol" showAll="0">
      <items count="13">
        <item x="0"/>
        <item x="1"/>
        <item x="2"/>
        <item x="3"/>
        <item x="4"/>
        <item x="5"/>
        <item x="6"/>
        <item x="7"/>
        <item x="8"/>
        <item x="9"/>
        <item x="10"/>
        <item x="11"/>
        <item t="default"/>
      </items>
    </pivotField>
    <pivotField showAll="0"/>
    <pivotField axis="axisRow" showAll="0">
      <items count="6">
        <item x="1"/>
        <item x="4"/>
        <item x="0"/>
        <item x="3"/>
        <item x="2"/>
        <item t="default"/>
      </items>
    </pivotField>
    <pivotField showAll="0"/>
    <pivotField numFmtId="4" showAll="0"/>
    <pivotField showAll="0"/>
    <pivotField dataField="1" numFmtId="4" showAll="0"/>
    <pivotField numFmtId="1" showAll="0"/>
    <pivotField dragToRow="0" dragToCol="0" dragToPage="0" showAll="0" defaultSubtotal="0"/>
  </pivotFields>
  <rowFields count="1">
    <field x="4"/>
  </rowFields>
  <rowItems count="6">
    <i>
      <x/>
    </i>
    <i>
      <x v="1"/>
    </i>
    <i>
      <x v="2"/>
    </i>
    <i>
      <x v="3"/>
    </i>
    <i>
      <x v="4"/>
    </i>
    <i t="grand">
      <x/>
    </i>
  </rowItems>
  <colFields count="2">
    <field x="0"/>
    <field x="2"/>
  </colFields>
  <colItems count="3">
    <i>
      <x/>
    </i>
    <i>
      <x v="1"/>
    </i>
    <i t="grand">
      <x/>
    </i>
  </colItems>
  <dataFields count="1">
    <dataField name="Suma z Margin2" fld="8" baseField="0" baseItem="0" numFmtId="4"/>
  </dataFields>
  <chartFormats count="12">
    <chartFormat chart="14" format="4" series="1">
      <pivotArea type="data" outline="0" fieldPosition="0">
        <references count="2">
          <reference field="4294967294" count="1" selected="0">
            <x v="0"/>
          </reference>
          <reference field="0" count="1" selected="0">
            <x v="0"/>
          </reference>
        </references>
      </pivotArea>
    </chartFormat>
    <chartFormat chart="14" format="5" series="1">
      <pivotArea type="data" outline="0" fieldPosition="0">
        <references count="2">
          <reference field="4294967294" count="1" selected="0">
            <x v="0"/>
          </reference>
          <reference field="0" count="1" selected="0">
            <x v="1"/>
          </reference>
        </references>
      </pivotArea>
    </chartFormat>
    <chartFormat chart="19" format="4" series="1">
      <pivotArea type="data" outline="0" fieldPosition="0">
        <references count="2">
          <reference field="4294967294" count="1" selected="0">
            <x v="0"/>
          </reference>
          <reference field="0" count="1" selected="0">
            <x v="0"/>
          </reference>
        </references>
      </pivotArea>
    </chartFormat>
    <chartFormat chart="19" format="5" series="1">
      <pivotArea type="data" outline="0" fieldPosition="0">
        <references count="2">
          <reference field="4294967294" count="1" selected="0">
            <x v="0"/>
          </reference>
          <reference field="0" count="1" selected="0">
            <x v="1"/>
          </reference>
        </references>
      </pivotArea>
    </chartFormat>
    <chartFormat chart="20" format="0" series="1">
      <pivotArea type="data" outline="0" fieldPosition="0">
        <references count="2">
          <reference field="4294967294" count="1" selected="0">
            <x v="0"/>
          </reference>
          <reference field="0" count="1" selected="0">
            <x v="0"/>
          </reference>
        </references>
      </pivotArea>
    </chartFormat>
    <chartFormat chart="20" format="1" series="1">
      <pivotArea type="data" outline="0" fieldPosition="0">
        <references count="2">
          <reference field="4294967294" count="1" selected="0">
            <x v="0"/>
          </reference>
          <reference field="0" count="1" selected="0">
            <x v="1"/>
          </reference>
        </references>
      </pivotArea>
    </chartFormat>
    <chartFormat chart="21" format="2" series="1">
      <pivotArea type="data" outline="0" fieldPosition="0">
        <references count="2">
          <reference field="4294967294" count="1" selected="0">
            <x v="0"/>
          </reference>
          <reference field="0" count="1" selected="0">
            <x v="0"/>
          </reference>
        </references>
      </pivotArea>
    </chartFormat>
    <chartFormat chart="21" format="3" series="1">
      <pivotArea type="data" outline="0" fieldPosition="0">
        <references count="2">
          <reference field="4294967294" count="1" selected="0">
            <x v="0"/>
          </reference>
          <reference field="0" count="1" selected="0">
            <x v="1"/>
          </reference>
        </references>
      </pivotArea>
    </chartFormat>
    <chartFormat chart="22" format="4" series="1">
      <pivotArea type="data" outline="0" fieldPosition="0">
        <references count="2">
          <reference field="4294967294" count="1" selected="0">
            <x v="0"/>
          </reference>
          <reference field="0" count="1" selected="0">
            <x v="0"/>
          </reference>
        </references>
      </pivotArea>
    </chartFormat>
    <chartFormat chart="22" format="5" series="1">
      <pivotArea type="data" outline="0" fieldPosition="0">
        <references count="2">
          <reference field="4294967294" count="1" selected="0">
            <x v="0"/>
          </reference>
          <reference field="0" count="1" selected="0">
            <x v="1"/>
          </reference>
        </references>
      </pivotArea>
    </chartFormat>
    <chartFormat chart="23" format="4" series="1">
      <pivotArea type="data" outline="0" fieldPosition="0">
        <references count="2">
          <reference field="4294967294" count="1" selected="0">
            <x v="0"/>
          </reference>
          <reference field="0" count="1" selected="0">
            <x v="0"/>
          </reference>
        </references>
      </pivotArea>
    </chartFormat>
    <chartFormat chart="23"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4BAF14-487D-42D2-9DB1-1BFBA620C064}" name="Tabela przestawna1" cacheId="0"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33" colHeaderCaption="YEAR">
  <location ref="A90:N104" firstHeaderRow="1" firstDataRow="2" firstDataCol="1"/>
  <pivotFields count="11">
    <pivotField axis="axisRow" showAll="0">
      <items count="3">
        <item x="0"/>
        <item x="1"/>
        <item t="default"/>
      </items>
    </pivotField>
    <pivotField showAll="0"/>
    <pivotField axis="axisCol" showAll="0">
      <items count="13">
        <item x="0"/>
        <item x="1"/>
        <item x="2"/>
        <item x="3"/>
        <item x="4"/>
        <item x="5"/>
        <item x="6"/>
        <item x="7"/>
        <item x="8"/>
        <item x="9"/>
        <item x="10"/>
        <item x="11"/>
        <item t="default"/>
      </items>
    </pivotField>
    <pivotField showAll="0"/>
    <pivotField axis="axisRow" showAll="0">
      <items count="6">
        <item x="1"/>
        <item x="4"/>
        <item x="0"/>
        <item x="3"/>
        <item x="2"/>
        <item t="default"/>
      </items>
    </pivotField>
    <pivotField showAll="0"/>
    <pivotField numFmtId="2" showAll="0"/>
    <pivotField showAll="0"/>
    <pivotField numFmtId="4" showAll="0"/>
    <pivotField dataField="1" numFmtId="164" showAll="0"/>
    <pivotField dragToRow="0" dragToCol="0" dragToPage="0" showAll="0" defaultSubtotal="0"/>
  </pivotFields>
  <rowFields count="2">
    <field x="0"/>
    <field x="4"/>
  </rowFields>
  <rowItems count="13">
    <i>
      <x/>
    </i>
    <i r="1">
      <x/>
    </i>
    <i r="1">
      <x v="1"/>
    </i>
    <i r="1">
      <x v="2"/>
    </i>
    <i r="1">
      <x v="3"/>
    </i>
    <i r="1">
      <x v="4"/>
    </i>
    <i>
      <x v="1"/>
    </i>
    <i r="1">
      <x/>
    </i>
    <i r="1">
      <x v="1"/>
    </i>
    <i r="1">
      <x v="2"/>
    </i>
    <i r="1">
      <x v="3"/>
    </i>
    <i r="1">
      <x v="4"/>
    </i>
    <i t="grand">
      <x/>
    </i>
  </rowItems>
  <colFields count="1">
    <field x="2"/>
  </colFields>
  <colItems count="13">
    <i>
      <x/>
    </i>
    <i>
      <x v="1"/>
    </i>
    <i>
      <x v="2"/>
    </i>
    <i>
      <x v="3"/>
    </i>
    <i>
      <x v="4"/>
    </i>
    <i>
      <x v="5"/>
    </i>
    <i>
      <x v="6"/>
    </i>
    <i>
      <x v="7"/>
    </i>
    <i>
      <x v="8"/>
    </i>
    <i>
      <x v="9"/>
    </i>
    <i>
      <x v="10"/>
    </i>
    <i>
      <x v="11"/>
    </i>
    <i t="grand">
      <x/>
    </i>
  </colItems>
  <dataFields count="1">
    <dataField name="Suma z Shipments" fld="9" baseField="0" baseItem="0" numFmtId="1"/>
  </dataFields>
  <formats count="4">
    <format dxfId="17">
      <pivotArea outline="0" collapsedLevelsAreSubtotals="1" fieldPosition="0"/>
    </format>
    <format dxfId="16">
      <pivotArea field="4" grandCol="1" collapsedLevelsAreSubtotals="1" axis="axisRow" fieldPosition="1">
        <references count="2">
          <reference field="0" count="1" selected="0">
            <x v="1"/>
          </reference>
          <reference field="4" count="1">
            <x v="3"/>
          </reference>
        </references>
      </pivotArea>
    </format>
    <format dxfId="15">
      <pivotArea field="4" grandCol="1" collapsedLevelsAreSubtotals="1" axis="axisRow" fieldPosition="1">
        <references count="2">
          <reference field="0" count="1" selected="0">
            <x v="0"/>
          </reference>
          <reference field="4" count="1">
            <x v="3"/>
          </reference>
        </references>
      </pivotArea>
    </format>
    <format dxfId="14">
      <pivotArea field="4" grandCol="1" collapsedLevelsAreSubtotals="1" axis="axisRow" fieldPosition="1">
        <references count="2">
          <reference field="0" count="1" selected="0">
            <x v="1"/>
          </reference>
          <reference field="4" count="1">
            <x v="4"/>
          </reference>
        </references>
      </pivotArea>
    </format>
  </formats>
  <chartFormats count="96">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2" format="4" series="1">
      <pivotArea type="data" outline="0" fieldPosition="0">
        <references count="2">
          <reference field="4294967294" count="1" selected="0">
            <x v="0"/>
          </reference>
          <reference field="2" count="1" selected="0">
            <x v="4"/>
          </reference>
        </references>
      </pivotArea>
    </chartFormat>
    <chartFormat chart="2" format="5" series="1">
      <pivotArea type="data" outline="0" fieldPosition="0">
        <references count="2">
          <reference field="4294967294" count="1" selected="0">
            <x v="0"/>
          </reference>
          <reference field="2" count="1" selected="0">
            <x v="5"/>
          </reference>
        </references>
      </pivotArea>
    </chartFormat>
    <chartFormat chart="2" format="6" series="1">
      <pivotArea type="data" outline="0" fieldPosition="0">
        <references count="2">
          <reference field="4294967294" count="1" selected="0">
            <x v="0"/>
          </reference>
          <reference field="2" count="1" selected="0">
            <x v="6"/>
          </reference>
        </references>
      </pivotArea>
    </chartFormat>
    <chartFormat chart="2" format="7" series="1">
      <pivotArea type="data" outline="0" fieldPosition="0">
        <references count="2">
          <reference field="4294967294" count="1" selected="0">
            <x v="0"/>
          </reference>
          <reference field="2" count="1" selected="0">
            <x v="7"/>
          </reference>
        </references>
      </pivotArea>
    </chartFormat>
    <chartFormat chart="2" format="8" series="1">
      <pivotArea type="data" outline="0" fieldPosition="0">
        <references count="2">
          <reference field="4294967294" count="1" selected="0">
            <x v="0"/>
          </reference>
          <reference field="2" count="1" selected="0">
            <x v="8"/>
          </reference>
        </references>
      </pivotArea>
    </chartFormat>
    <chartFormat chart="2" format="9" series="1">
      <pivotArea type="data" outline="0" fieldPosition="0">
        <references count="2">
          <reference field="4294967294" count="1" selected="0">
            <x v="0"/>
          </reference>
          <reference field="2" count="1" selected="0">
            <x v="9"/>
          </reference>
        </references>
      </pivotArea>
    </chartFormat>
    <chartFormat chart="2" format="10" series="1">
      <pivotArea type="data" outline="0" fieldPosition="0">
        <references count="2">
          <reference field="4294967294" count="1" selected="0">
            <x v="0"/>
          </reference>
          <reference field="2" count="1" selected="0">
            <x v="10"/>
          </reference>
        </references>
      </pivotArea>
    </chartFormat>
    <chartFormat chart="2" format="11" series="1">
      <pivotArea type="data" outline="0" fieldPosition="0">
        <references count="2">
          <reference field="4294967294" count="1" selected="0">
            <x v="0"/>
          </reference>
          <reference field="2" count="1" selected="0">
            <x v="11"/>
          </reference>
        </references>
      </pivotArea>
    </chartFormat>
    <chartFormat chart="8" format="24" series="1">
      <pivotArea type="data" outline="0" fieldPosition="0">
        <references count="2">
          <reference field="4294967294" count="1" selected="0">
            <x v="0"/>
          </reference>
          <reference field="2" count="1" selected="0">
            <x v="0"/>
          </reference>
        </references>
      </pivotArea>
    </chartFormat>
    <chartFormat chart="8" format="25" series="1">
      <pivotArea type="data" outline="0" fieldPosition="0">
        <references count="2">
          <reference field="4294967294" count="1" selected="0">
            <x v="0"/>
          </reference>
          <reference field="2" count="1" selected="0">
            <x v="1"/>
          </reference>
        </references>
      </pivotArea>
    </chartFormat>
    <chartFormat chart="8" format="26" series="1">
      <pivotArea type="data" outline="0" fieldPosition="0">
        <references count="2">
          <reference field="4294967294" count="1" selected="0">
            <x v="0"/>
          </reference>
          <reference field="2" count="1" selected="0">
            <x v="2"/>
          </reference>
        </references>
      </pivotArea>
    </chartFormat>
    <chartFormat chart="8" format="27" series="1">
      <pivotArea type="data" outline="0" fieldPosition="0">
        <references count="2">
          <reference field="4294967294" count="1" selected="0">
            <x v="0"/>
          </reference>
          <reference field="2" count="1" selected="0">
            <x v="3"/>
          </reference>
        </references>
      </pivotArea>
    </chartFormat>
    <chartFormat chart="8" format="28" series="1">
      <pivotArea type="data" outline="0" fieldPosition="0">
        <references count="2">
          <reference field="4294967294" count="1" selected="0">
            <x v="0"/>
          </reference>
          <reference field="2" count="1" selected="0">
            <x v="4"/>
          </reference>
        </references>
      </pivotArea>
    </chartFormat>
    <chartFormat chart="8" format="29" series="1">
      <pivotArea type="data" outline="0" fieldPosition="0">
        <references count="2">
          <reference field="4294967294" count="1" selected="0">
            <x v="0"/>
          </reference>
          <reference field="2" count="1" selected="0">
            <x v="5"/>
          </reference>
        </references>
      </pivotArea>
    </chartFormat>
    <chartFormat chart="8" format="30" series="1">
      <pivotArea type="data" outline="0" fieldPosition="0">
        <references count="2">
          <reference field="4294967294" count="1" selected="0">
            <x v="0"/>
          </reference>
          <reference field="2" count="1" selected="0">
            <x v="6"/>
          </reference>
        </references>
      </pivotArea>
    </chartFormat>
    <chartFormat chart="8" format="31" series="1">
      <pivotArea type="data" outline="0" fieldPosition="0">
        <references count="2">
          <reference field="4294967294" count="1" selected="0">
            <x v="0"/>
          </reference>
          <reference field="2" count="1" selected="0">
            <x v="7"/>
          </reference>
        </references>
      </pivotArea>
    </chartFormat>
    <chartFormat chart="8" format="32" series="1">
      <pivotArea type="data" outline="0" fieldPosition="0">
        <references count="2">
          <reference field="4294967294" count="1" selected="0">
            <x v="0"/>
          </reference>
          <reference field="2" count="1" selected="0">
            <x v="8"/>
          </reference>
        </references>
      </pivotArea>
    </chartFormat>
    <chartFormat chart="8" format="33" series="1">
      <pivotArea type="data" outline="0" fieldPosition="0">
        <references count="2">
          <reference field="4294967294" count="1" selected="0">
            <x v="0"/>
          </reference>
          <reference field="2" count="1" selected="0">
            <x v="9"/>
          </reference>
        </references>
      </pivotArea>
    </chartFormat>
    <chartFormat chart="8" format="34" series="1">
      <pivotArea type="data" outline="0" fieldPosition="0">
        <references count="2">
          <reference field="4294967294" count="1" selected="0">
            <x v="0"/>
          </reference>
          <reference field="2" count="1" selected="0">
            <x v="10"/>
          </reference>
        </references>
      </pivotArea>
    </chartFormat>
    <chartFormat chart="8" format="35" series="1">
      <pivotArea type="data" outline="0" fieldPosition="0">
        <references count="2">
          <reference field="4294967294" count="1" selected="0">
            <x v="0"/>
          </reference>
          <reference field="2" count="1" selected="0">
            <x v="11"/>
          </reference>
        </references>
      </pivotArea>
    </chartFormat>
    <chartFormat chart="12" format="48" series="1">
      <pivotArea type="data" outline="0" fieldPosition="0">
        <references count="2">
          <reference field="4294967294" count="1" selected="0">
            <x v="0"/>
          </reference>
          <reference field="2" count="1" selected="0">
            <x v="0"/>
          </reference>
        </references>
      </pivotArea>
    </chartFormat>
    <chartFormat chart="12" format="49" series="1">
      <pivotArea type="data" outline="0" fieldPosition="0">
        <references count="2">
          <reference field="4294967294" count="1" selected="0">
            <x v="0"/>
          </reference>
          <reference field="2" count="1" selected="0">
            <x v="1"/>
          </reference>
        </references>
      </pivotArea>
    </chartFormat>
    <chartFormat chart="12" format="50" series="1">
      <pivotArea type="data" outline="0" fieldPosition="0">
        <references count="2">
          <reference field="4294967294" count="1" selected="0">
            <x v="0"/>
          </reference>
          <reference field="2" count="1" selected="0">
            <x v="2"/>
          </reference>
        </references>
      </pivotArea>
    </chartFormat>
    <chartFormat chart="12" format="51" series="1">
      <pivotArea type="data" outline="0" fieldPosition="0">
        <references count="2">
          <reference field="4294967294" count="1" selected="0">
            <x v="0"/>
          </reference>
          <reference field="2" count="1" selected="0">
            <x v="3"/>
          </reference>
        </references>
      </pivotArea>
    </chartFormat>
    <chartFormat chart="12" format="52" series="1">
      <pivotArea type="data" outline="0" fieldPosition="0">
        <references count="2">
          <reference field="4294967294" count="1" selected="0">
            <x v="0"/>
          </reference>
          <reference field="2" count="1" selected="0">
            <x v="4"/>
          </reference>
        </references>
      </pivotArea>
    </chartFormat>
    <chartFormat chart="12" format="53" series="1">
      <pivotArea type="data" outline="0" fieldPosition="0">
        <references count="2">
          <reference field="4294967294" count="1" selected="0">
            <x v="0"/>
          </reference>
          <reference field="2" count="1" selected="0">
            <x v="5"/>
          </reference>
        </references>
      </pivotArea>
    </chartFormat>
    <chartFormat chart="12" format="54" series="1">
      <pivotArea type="data" outline="0" fieldPosition="0">
        <references count="2">
          <reference field="4294967294" count="1" selected="0">
            <x v="0"/>
          </reference>
          <reference field="2" count="1" selected="0">
            <x v="6"/>
          </reference>
        </references>
      </pivotArea>
    </chartFormat>
    <chartFormat chart="12" format="55" series="1">
      <pivotArea type="data" outline="0" fieldPosition="0">
        <references count="2">
          <reference field="4294967294" count="1" selected="0">
            <x v="0"/>
          </reference>
          <reference field="2" count="1" selected="0">
            <x v="7"/>
          </reference>
        </references>
      </pivotArea>
    </chartFormat>
    <chartFormat chart="12" format="56" series="1">
      <pivotArea type="data" outline="0" fieldPosition="0">
        <references count="2">
          <reference field="4294967294" count="1" selected="0">
            <x v="0"/>
          </reference>
          <reference field="2" count="1" selected="0">
            <x v="8"/>
          </reference>
        </references>
      </pivotArea>
    </chartFormat>
    <chartFormat chart="12" format="57" series="1">
      <pivotArea type="data" outline="0" fieldPosition="0">
        <references count="2">
          <reference field="4294967294" count="1" selected="0">
            <x v="0"/>
          </reference>
          <reference field="2" count="1" selected="0">
            <x v="9"/>
          </reference>
        </references>
      </pivotArea>
    </chartFormat>
    <chartFormat chart="12" format="58" series="1">
      <pivotArea type="data" outline="0" fieldPosition="0">
        <references count="2">
          <reference field="4294967294" count="1" selected="0">
            <x v="0"/>
          </reference>
          <reference field="2" count="1" selected="0">
            <x v="10"/>
          </reference>
        </references>
      </pivotArea>
    </chartFormat>
    <chartFormat chart="12" format="59" series="1">
      <pivotArea type="data" outline="0" fieldPosition="0">
        <references count="2">
          <reference field="4294967294" count="1" selected="0">
            <x v="0"/>
          </reference>
          <reference field="2" count="1" selected="0">
            <x v="11"/>
          </reference>
        </references>
      </pivotArea>
    </chartFormat>
    <chartFormat chart="18" format="0" series="1">
      <pivotArea type="data" outline="0" fieldPosition="0">
        <references count="2">
          <reference field="4294967294" count="1" selected="0">
            <x v="0"/>
          </reference>
          <reference field="2" count="1" selected="0">
            <x v="0"/>
          </reference>
        </references>
      </pivotArea>
    </chartFormat>
    <chartFormat chart="18" format="1" series="1">
      <pivotArea type="data" outline="0" fieldPosition="0">
        <references count="2">
          <reference field="4294967294" count="1" selected="0">
            <x v="0"/>
          </reference>
          <reference field="2" count="1" selected="0">
            <x v="1"/>
          </reference>
        </references>
      </pivotArea>
    </chartFormat>
    <chartFormat chart="18" format="2" series="1">
      <pivotArea type="data" outline="0" fieldPosition="0">
        <references count="2">
          <reference field="4294967294" count="1" selected="0">
            <x v="0"/>
          </reference>
          <reference field="2" count="1" selected="0">
            <x v="2"/>
          </reference>
        </references>
      </pivotArea>
    </chartFormat>
    <chartFormat chart="18" format="3" series="1">
      <pivotArea type="data" outline="0" fieldPosition="0">
        <references count="2">
          <reference field="4294967294" count="1" selected="0">
            <x v="0"/>
          </reference>
          <reference field="2" count="1" selected="0">
            <x v="3"/>
          </reference>
        </references>
      </pivotArea>
    </chartFormat>
    <chartFormat chart="18" format="4" series="1">
      <pivotArea type="data" outline="0" fieldPosition="0">
        <references count="2">
          <reference field="4294967294" count="1" selected="0">
            <x v="0"/>
          </reference>
          <reference field="2" count="1" selected="0">
            <x v="4"/>
          </reference>
        </references>
      </pivotArea>
    </chartFormat>
    <chartFormat chart="18" format="5" series="1">
      <pivotArea type="data" outline="0" fieldPosition="0">
        <references count="2">
          <reference field="4294967294" count="1" selected="0">
            <x v="0"/>
          </reference>
          <reference field="2" count="1" selected="0">
            <x v="5"/>
          </reference>
        </references>
      </pivotArea>
    </chartFormat>
    <chartFormat chart="18" format="6" series="1">
      <pivotArea type="data" outline="0" fieldPosition="0">
        <references count="2">
          <reference field="4294967294" count="1" selected="0">
            <x v="0"/>
          </reference>
          <reference field="2" count="1" selected="0">
            <x v="6"/>
          </reference>
        </references>
      </pivotArea>
    </chartFormat>
    <chartFormat chart="18" format="7" series="1">
      <pivotArea type="data" outline="0" fieldPosition="0">
        <references count="2">
          <reference field="4294967294" count="1" selected="0">
            <x v="0"/>
          </reference>
          <reference field="2" count="1" selected="0">
            <x v="7"/>
          </reference>
        </references>
      </pivotArea>
    </chartFormat>
    <chartFormat chart="18" format="8" series="1">
      <pivotArea type="data" outline="0" fieldPosition="0">
        <references count="2">
          <reference field="4294967294" count="1" selected="0">
            <x v="0"/>
          </reference>
          <reference field="2" count="1" selected="0">
            <x v="8"/>
          </reference>
        </references>
      </pivotArea>
    </chartFormat>
    <chartFormat chart="18" format="9" series="1">
      <pivotArea type="data" outline="0" fieldPosition="0">
        <references count="2">
          <reference field="4294967294" count="1" selected="0">
            <x v="0"/>
          </reference>
          <reference field="2" count="1" selected="0">
            <x v="9"/>
          </reference>
        </references>
      </pivotArea>
    </chartFormat>
    <chartFormat chart="18" format="10" series="1">
      <pivotArea type="data" outline="0" fieldPosition="0">
        <references count="2">
          <reference field="4294967294" count="1" selected="0">
            <x v="0"/>
          </reference>
          <reference field="2" count="1" selected="0">
            <x v="10"/>
          </reference>
        </references>
      </pivotArea>
    </chartFormat>
    <chartFormat chart="18" format="11" series="1">
      <pivotArea type="data" outline="0" fieldPosition="0">
        <references count="2">
          <reference field="4294967294" count="1" selected="0">
            <x v="0"/>
          </reference>
          <reference field="2" count="1" selected="0">
            <x v="11"/>
          </reference>
        </references>
      </pivotArea>
    </chartFormat>
    <chartFormat chart="23" format="24" series="1">
      <pivotArea type="data" outline="0" fieldPosition="0">
        <references count="2">
          <reference field="4294967294" count="1" selected="0">
            <x v="0"/>
          </reference>
          <reference field="2" count="1" selected="0">
            <x v="0"/>
          </reference>
        </references>
      </pivotArea>
    </chartFormat>
    <chartFormat chart="23" format="25" series="1">
      <pivotArea type="data" outline="0" fieldPosition="0">
        <references count="2">
          <reference field="4294967294" count="1" selected="0">
            <x v="0"/>
          </reference>
          <reference field="2" count="1" selected="0">
            <x v="1"/>
          </reference>
        </references>
      </pivotArea>
    </chartFormat>
    <chartFormat chart="23" format="26" series="1">
      <pivotArea type="data" outline="0" fieldPosition="0">
        <references count="2">
          <reference field="4294967294" count="1" selected="0">
            <x v="0"/>
          </reference>
          <reference field="2" count="1" selected="0">
            <x v="2"/>
          </reference>
        </references>
      </pivotArea>
    </chartFormat>
    <chartFormat chart="23" format="27" series="1">
      <pivotArea type="data" outline="0" fieldPosition="0">
        <references count="2">
          <reference field="4294967294" count="1" selected="0">
            <x v="0"/>
          </reference>
          <reference field="2" count="1" selected="0">
            <x v="3"/>
          </reference>
        </references>
      </pivotArea>
    </chartFormat>
    <chartFormat chart="23" format="28" series="1">
      <pivotArea type="data" outline="0" fieldPosition="0">
        <references count="2">
          <reference field="4294967294" count="1" selected="0">
            <x v="0"/>
          </reference>
          <reference field="2" count="1" selected="0">
            <x v="4"/>
          </reference>
        </references>
      </pivotArea>
    </chartFormat>
    <chartFormat chart="23" format="29" series="1">
      <pivotArea type="data" outline="0" fieldPosition="0">
        <references count="2">
          <reference field="4294967294" count="1" selected="0">
            <x v="0"/>
          </reference>
          <reference field="2" count="1" selected="0">
            <x v="5"/>
          </reference>
        </references>
      </pivotArea>
    </chartFormat>
    <chartFormat chart="23" format="30" series="1">
      <pivotArea type="data" outline="0" fieldPosition="0">
        <references count="2">
          <reference field="4294967294" count="1" selected="0">
            <x v="0"/>
          </reference>
          <reference field="2" count="1" selected="0">
            <x v="6"/>
          </reference>
        </references>
      </pivotArea>
    </chartFormat>
    <chartFormat chart="23" format="31" series="1">
      <pivotArea type="data" outline="0" fieldPosition="0">
        <references count="2">
          <reference field="4294967294" count="1" selected="0">
            <x v="0"/>
          </reference>
          <reference field="2" count="1" selected="0">
            <x v="7"/>
          </reference>
        </references>
      </pivotArea>
    </chartFormat>
    <chartFormat chart="23" format="32" series="1">
      <pivotArea type="data" outline="0" fieldPosition="0">
        <references count="2">
          <reference field="4294967294" count="1" selected="0">
            <x v="0"/>
          </reference>
          <reference field="2" count="1" selected="0">
            <x v="8"/>
          </reference>
        </references>
      </pivotArea>
    </chartFormat>
    <chartFormat chart="23" format="33" series="1">
      <pivotArea type="data" outline="0" fieldPosition="0">
        <references count="2">
          <reference field="4294967294" count="1" selected="0">
            <x v="0"/>
          </reference>
          <reference field="2" count="1" selected="0">
            <x v="9"/>
          </reference>
        </references>
      </pivotArea>
    </chartFormat>
    <chartFormat chart="23" format="34" series="1">
      <pivotArea type="data" outline="0" fieldPosition="0">
        <references count="2">
          <reference field="4294967294" count="1" selected="0">
            <x v="0"/>
          </reference>
          <reference field="2" count="1" selected="0">
            <x v="10"/>
          </reference>
        </references>
      </pivotArea>
    </chartFormat>
    <chartFormat chart="23" format="35" series="1">
      <pivotArea type="data" outline="0" fieldPosition="0">
        <references count="2">
          <reference field="4294967294" count="1" selected="0">
            <x v="0"/>
          </reference>
          <reference field="2" count="1" selected="0">
            <x v="11"/>
          </reference>
        </references>
      </pivotArea>
    </chartFormat>
    <chartFormat chart="28" format="24" series="1">
      <pivotArea type="data" outline="0" fieldPosition="0">
        <references count="2">
          <reference field="4294967294" count="1" selected="0">
            <x v="0"/>
          </reference>
          <reference field="2" count="1" selected="0">
            <x v="0"/>
          </reference>
        </references>
      </pivotArea>
    </chartFormat>
    <chartFormat chart="28" format="25" series="1">
      <pivotArea type="data" outline="0" fieldPosition="0">
        <references count="2">
          <reference field="4294967294" count="1" selected="0">
            <x v="0"/>
          </reference>
          <reference field="2" count="1" selected="0">
            <x v="1"/>
          </reference>
        </references>
      </pivotArea>
    </chartFormat>
    <chartFormat chart="28" format="26" series="1">
      <pivotArea type="data" outline="0" fieldPosition="0">
        <references count="2">
          <reference field="4294967294" count="1" selected="0">
            <x v="0"/>
          </reference>
          <reference field="2" count="1" selected="0">
            <x v="2"/>
          </reference>
        </references>
      </pivotArea>
    </chartFormat>
    <chartFormat chart="28" format="27" series="1">
      <pivotArea type="data" outline="0" fieldPosition="0">
        <references count="2">
          <reference field="4294967294" count="1" selected="0">
            <x v="0"/>
          </reference>
          <reference field="2" count="1" selected="0">
            <x v="3"/>
          </reference>
        </references>
      </pivotArea>
    </chartFormat>
    <chartFormat chart="28" format="28" series="1">
      <pivotArea type="data" outline="0" fieldPosition="0">
        <references count="2">
          <reference field="4294967294" count="1" selected="0">
            <x v="0"/>
          </reference>
          <reference field="2" count="1" selected="0">
            <x v="4"/>
          </reference>
        </references>
      </pivotArea>
    </chartFormat>
    <chartFormat chart="28" format="29" series="1">
      <pivotArea type="data" outline="0" fieldPosition="0">
        <references count="2">
          <reference field="4294967294" count="1" selected="0">
            <x v="0"/>
          </reference>
          <reference field="2" count="1" selected="0">
            <x v="5"/>
          </reference>
        </references>
      </pivotArea>
    </chartFormat>
    <chartFormat chart="28" format="30" series="1">
      <pivotArea type="data" outline="0" fieldPosition="0">
        <references count="2">
          <reference field="4294967294" count="1" selected="0">
            <x v="0"/>
          </reference>
          <reference field="2" count="1" selected="0">
            <x v="6"/>
          </reference>
        </references>
      </pivotArea>
    </chartFormat>
    <chartFormat chart="28" format="31" series="1">
      <pivotArea type="data" outline="0" fieldPosition="0">
        <references count="2">
          <reference field="4294967294" count="1" selected="0">
            <x v="0"/>
          </reference>
          <reference field="2" count="1" selected="0">
            <x v="7"/>
          </reference>
        </references>
      </pivotArea>
    </chartFormat>
    <chartFormat chart="28" format="32" series="1">
      <pivotArea type="data" outline="0" fieldPosition="0">
        <references count="2">
          <reference field="4294967294" count="1" selected="0">
            <x v="0"/>
          </reference>
          <reference field="2" count="1" selected="0">
            <x v="8"/>
          </reference>
        </references>
      </pivotArea>
    </chartFormat>
    <chartFormat chart="28" format="33" series="1">
      <pivotArea type="data" outline="0" fieldPosition="0">
        <references count="2">
          <reference field="4294967294" count="1" selected="0">
            <x v="0"/>
          </reference>
          <reference field="2" count="1" selected="0">
            <x v="9"/>
          </reference>
        </references>
      </pivotArea>
    </chartFormat>
    <chartFormat chart="28" format="34" series="1">
      <pivotArea type="data" outline="0" fieldPosition="0">
        <references count="2">
          <reference field="4294967294" count="1" selected="0">
            <x v="0"/>
          </reference>
          <reference field="2" count="1" selected="0">
            <x v="10"/>
          </reference>
        </references>
      </pivotArea>
    </chartFormat>
    <chartFormat chart="28" format="35" series="1">
      <pivotArea type="data" outline="0" fieldPosition="0">
        <references count="2">
          <reference field="4294967294" count="1" selected="0">
            <x v="0"/>
          </reference>
          <reference field="2" count="1" selected="0">
            <x v="11"/>
          </reference>
        </references>
      </pivotArea>
    </chartFormat>
    <chartFormat chart="29" format="0" series="1">
      <pivotArea type="data" outline="0" fieldPosition="0">
        <references count="2">
          <reference field="4294967294" count="1" selected="0">
            <x v="0"/>
          </reference>
          <reference field="2" count="1" selected="0">
            <x v="0"/>
          </reference>
        </references>
      </pivotArea>
    </chartFormat>
    <chartFormat chart="29" format="1" series="1">
      <pivotArea type="data" outline="0" fieldPosition="0">
        <references count="2">
          <reference field="4294967294" count="1" selected="0">
            <x v="0"/>
          </reference>
          <reference field="2" count="1" selected="0">
            <x v="1"/>
          </reference>
        </references>
      </pivotArea>
    </chartFormat>
    <chartFormat chart="29" format="2" series="1">
      <pivotArea type="data" outline="0" fieldPosition="0">
        <references count="2">
          <reference field="4294967294" count="1" selected="0">
            <x v="0"/>
          </reference>
          <reference field="2" count="1" selected="0">
            <x v="2"/>
          </reference>
        </references>
      </pivotArea>
    </chartFormat>
    <chartFormat chart="29" format="3" series="1">
      <pivotArea type="data" outline="0" fieldPosition="0">
        <references count="2">
          <reference field="4294967294" count="1" selected="0">
            <x v="0"/>
          </reference>
          <reference field="2" count="1" selected="0">
            <x v="3"/>
          </reference>
        </references>
      </pivotArea>
    </chartFormat>
    <chartFormat chart="29" format="4" series="1">
      <pivotArea type="data" outline="0" fieldPosition="0">
        <references count="2">
          <reference field="4294967294" count="1" selected="0">
            <x v="0"/>
          </reference>
          <reference field="2" count="1" selected="0">
            <x v="4"/>
          </reference>
        </references>
      </pivotArea>
    </chartFormat>
    <chartFormat chart="29" format="5" series="1">
      <pivotArea type="data" outline="0" fieldPosition="0">
        <references count="2">
          <reference field="4294967294" count="1" selected="0">
            <x v="0"/>
          </reference>
          <reference field="2" count="1" selected="0">
            <x v="5"/>
          </reference>
        </references>
      </pivotArea>
    </chartFormat>
    <chartFormat chart="29" format="6" series="1">
      <pivotArea type="data" outline="0" fieldPosition="0">
        <references count="2">
          <reference field="4294967294" count="1" selected="0">
            <x v="0"/>
          </reference>
          <reference field="2" count="1" selected="0">
            <x v="6"/>
          </reference>
        </references>
      </pivotArea>
    </chartFormat>
    <chartFormat chart="29" format="7" series="1">
      <pivotArea type="data" outline="0" fieldPosition="0">
        <references count="2">
          <reference field="4294967294" count="1" selected="0">
            <x v="0"/>
          </reference>
          <reference field="2" count="1" selected="0">
            <x v="7"/>
          </reference>
        </references>
      </pivotArea>
    </chartFormat>
    <chartFormat chart="29" format="8" series="1">
      <pivotArea type="data" outline="0" fieldPosition="0">
        <references count="2">
          <reference field="4294967294" count="1" selected="0">
            <x v="0"/>
          </reference>
          <reference field="2" count="1" selected="0">
            <x v="8"/>
          </reference>
        </references>
      </pivotArea>
    </chartFormat>
    <chartFormat chart="29" format="9" series="1">
      <pivotArea type="data" outline="0" fieldPosition="0">
        <references count="2">
          <reference field="4294967294" count="1" selected="0">
            <x v="0"/>
          </reference>
          <reference field="2" count="1" selected="0">
            <x v="9"/>
          </reference>
        </references>
      </pivotArea>
    </chartFormat>
    <chartFormat chart="29" format="10" series="1">
      <pivotArea type="data" outline="0" fieldPosition="0">
        <references count="2">
          <reference field="4294967294" count="1" selected="0">
            <x v="0"/>
          </reference>
          <reference field="2" count="1" selected="0">
            <x v="10"/>
          </reference>
        </references>
      </pivotArea>
    </chartFormat>
    <chartFormat chart="29" format="11" series="1">
      <pivotArea type="data" outline="0" fieldPosition="0">
        <references count="2">
          <reference field="4294967294" count="1" selected="0">
            <x v="0"/>
          </reference>
          <reference field="2" count="1" selected="0">
            <x v="11"/>
          </reference>
        </references>
      </pivotArea>
    </chartFormat>
    <chartFormat chart="32" format="24" series="1">
      <pivotArea type="data" outline="0" fieldPosition="0">
        <references count="2">
          <reference field="4294967294" count="1" selected="0">
            <x v="0"/>
          </reference>
          <reference field="2" count="1" selected="0">
            <x v="0"/>
          </reference>
        </references>
      </pivotArea>
    </chartFormat>
    <chartFormat chart="32" format="25" series="1">
      <pivotArea type="data" outline="0" fieldPosition="0">
        <references count="2">
          <reference field="4294967294" count="1" selected="0">
            <x v="0"/>
          </reference>
          <reference field="2" count="1" selected="0">
            <x v="1"/>
          </reference>
        </references>
      </pivotArea>
    </chartFormat>
    <chartFormat chart="32" format="26" series="1">
      <pivotArea type="data" outline="0" fieldPosition="0">
        <references count="2">
          <reference field="4294967294" count="1" selected="0">
            <x v="0"/>
          </reference>
          <reference field="2" count="1" selected="0">
            <x v="2"/>
          </reference>
        </references>
      </pivotArea>
    </chartFormat>
    <chartFormat chart="32" format="27" series="1">
      <pivotArea type="data" outline="0" fieldPosition="0">
        <references count="2">
          <reference field="4294967294" count="1" selected="0">
            <x v="0"/>
          </reference>
          <reference field="2" count="1" selected="0">
            <x v="3"/>
          </reference>
        </references>
      </pivotArea>
    </chartFormat>
    <chartFormat chart="32" format="28" series="1">
      <pivotArea type="data" outline="0" fieldPosition="0">
        <references count="2">
          <reference field="4294967294" count="1" selected="0">
            <x v="0"/>
          </reference>
          <reference field="2" count="1" selected="0">
            <x v="4"/>
          </reference>
        </references>
      </pivotArea>
    </chartFormat>
    <chartFormat chart="32" format="29" series="1">
      <pivotArea type="data" outline="0" fieldPosition="0">
        <references count="2">
          <reference field="4294967294" count="1" selected="0">
            <x v="0"/>
          </reference>
          <reference field="2" count="1" selected="0">
            <x v="5"/>
          </reference>
        </references>
      </pivotArea>
    </chartFormat>
    <chartFormat chart="32" format="30" series="1">
      <pivotArea type="data" outline="0" fieldPosition="0">
        <references count="2">
          <reference field="4294967294" count="1" selected="0">
            <x v="0"/>
          </reference>
          <reference field="2" count="1" selected="0">
            <x v="6"/>
          </reference>
        </references>
      </pivotArea>
    </chartFormat>
    <chartFormat chart="32" format="31" series="1">
      <pivotArea type="data" outline="0" fieldPosition="0">
        <references count="2">
          <reference field="4294967294" count="1" selected="0">
            <x v="0"/>
          </reference>
          <reference field="2" count="1" selected="0">
            <x v="7"/>
          </reference>
        </references>
      </pivotArea>
    </chartFormat>
    <chartFormat chart="32" format="32" series="1">
      <pivotArea type="data" outline="0" fieldPosition="0">
        <references count="2">
          <reference field="4294967294" count="1" selected="0">
            <x v="0"/>
          </reference>
          <reference field="2" count="1" selected="0">
            <x v="8"/>
          </reference>
        </references>
      </pivotArea>
    </chartFormat>
    <chartFormat chart="32" format="33" series="1">
      <pivotArea type="data" outline="0" fieldPosition="0">
        <references count="2">
          <reference field="4294967294" count="1" selected="0">
            <x v="0"/>
          </reference>
          <reference field="2" count="1" selected="0">
            <x v="9"/>
          </reference>
        </references>
      </pivotArea>
    </chartFormat>
    <chartFormat chart="32" format="34" series="1">
      <pivotArea type="data" outline="0" fieldPosition="0">
        <references count="2">
          <reference field="4294967294" count="1" selected="0">
            <x v="0"/>
          </reference>
          <reference field="2" count="1" selected="0">
            <x v="10"/>
          </reference>
        </references>
      </pivotArea>
    </chartFormat>
    <chartFormat chart="32" format="35" series="1">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047170-15F2-470B-8709-53E31356B731}" name="Tabela przestawna6" cacheId="0"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olHeaderCaption="YEAR">
  <location ref="A62:D70" firstHeaderRow="1" firstDataRow="3" firstDataCol="1"/>
  <pivotFields count="11">
    <pivotField axis="axisCol" showAll="0">
      <items count="3">
        <item sd="0" x="0"/>
        <item sd="0" x="1"/>
        <item t="default"/>
      </items>
    </pivotField>
    <pivotField showAll="0"/>
    <pivotField axis="axisCol" showAll="0">
      <items count="13">
        <item x="0"/>
        <item x="1"/>
        <item x="2"/>
        <item x="3"/>
        <item x="4"/>
        <item x="5"/>
        <item x="6"/>
        <item x="7"/>
        <item x="8"/>
        <item x="9"/>
        <item x="10"/>
        <item x="11"/>
        <item t="default"/>
      </items>
    </pivotField>
    <pivotField showAll="0"/>
    <pivotField axis="axisRow" showAll="0">
      <items count="6">
        <item x="1"/>
        <item x="4"/>
        <item x="0"/>
        <item x="3"/>
        <item x="2"/>
        <item t="default"/>
      </items>
    </pivotField>
    <pivotField showAll="0"/>
    <pivotField dataField="1" numFmtId="4" showAll="0"/>
    <pivotField showAll="0"/>
    <pivotField numFmtId="4" showAll="0"/>
    <pivotField numFmtId="1" showAll="0"/>
    <pivotField dragToRow="0" dragToCol="0" dragToPage="0" showAll="0" defaultSubtotal="0"/>
  </pivotFields>
  <rowFields count="1">
    <field x="4"/>
  </rowFields>
  <rowItems count="6">
    <i>
      <x/>
    </i>
    <i>
      <x v="1"/>
    </i>
    <i>
      <x v="2"/>
    </i>
    <i>
      <x v="3"/>
    </i>
    <i>
      <x v="4"/>
    </i>
    <i t="grand">
      <x/>
    </i>
  </rowItems>
  <colFields count="2">
    <field x="0"/>
    <field x="2"/>
  </colFields>
  <colItems count="3">
    <i>
      <x/>
    </i>
    <i>
      <x v="1"/>
    </i>
    <i t="grand">
      <x/>
    </i>
  </colItems>
  <dataFields count="1">
    <dataField name="Suma z Cost" fld="6" baseField="0" baseItem="0" numFmtId="4"/>
  </dataFields>
  <formats count="2">
    <format dxfId="19">
      <pivotArea collapsedLevelsAreSubtotals="1" fieldPosition="0">
        <references count="2">
          <reference field="0" count="1" selected="0">
            <x v="1"/>
          </reference>
          <reference field="4" count="1">
            <x v="3"/>
          </reference>
        </references>
      </pivotArea>
    </format>
    <format dxfId="18">
      <pivotArea collapsedLevelsAreSubtotals="1" fieldPosition="0">
        <references count="2">
          <reference field="0" count="1" selected="0">
            <x v="1"/>
          </reference>
          <reference field="4"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B6B559-2B54-47D8-B00D-18E65553C0C8}" name="Tabela przestawna5" cacheId="0"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31" colHeaderCaption="YEAR">
  <location ref="A3:D10" firstHeaderRow="1" firstDataRow="3" firstDataCol="1"/>
  <pivotFields count="11">
    <pivotField axis="axisCol" showAll="0">
      <items count="3">
        <item sd="0" x="0"/>
        <item sd="0" x="1"/>
        <item t="default"/>
      </items>
    </pivotField>
    <pivotField showAll="0"/>
    <pivotField axis="axisCol" showAll="0">
      <items count="13">
        <item x="0"/>
        <item x="1"/>
        <item x="2"/>
        <item x="3"/>
        <item x="4"/>
        <item x="5"/>
        <item x="6"/>
        <item x="7"/>
        <item x="8"/>
        <item x="9"/>
        <item x="10"/>
        <item x="11"/>
        <item t="default"/>
      </items>
    </pivotField>
    <pivotField axis="axisRow" showAll="0">
      <items count="5">
        <item sd="0" x="1"/>
        <item sd="0" x="3"/>
        <item sd="0" x="2"/>
        <item sd="0" x="0"/>
        <item t="default"/>
      </items>
    </pivotField>
    <pivotField showAll="0"/>
    <pivotField showAll="0"/>
    <pivotField numFmtId="4" showAll="0"/>
    <pivotField showAll="0"/>
    <pivotField dataField="1" numFmtId="4" showAll="0"/>
    <pivotField numFmtId="1" showAll="0"/>
    <pivotField dragToRow="0" dragToCol="0" dragToPage="0" showAll="0" defaultSubtotal="0"/>
  </pivotFields>
  <rowFields count="1">
    <field x="3"/>
  </rowFields>
  <rowItems count="5">
    <i>
      <x/>
    </i>
    <i>
      <x v="1"/>
    </i>
    <i>
      <x v="2"/>
    </i>
    <i>
      <x v="3"/>
    </i>
    <i t="grand">
      <x/>
    </i>
  </rowItems>
  <colFields count="2">
    <field x="0"/>
    <field x="2"/>
  </colFields>
  <colItems count="3">
    <i>
      <x/>
    </i>
    <i>
      <x v="1"/>
    </i>
    <i t="grand">
      <x/>
    </i>
  </colItems>
  <dataFields count="1">
    <dataField name="Suma z Margin2" fld="8" baseField="0" baseItem="0" numFmtId="4"/>
  </dataFields>
  <chartFormats count="18">
    <chartFormat chart="14" format="4" series="1">
      <pivotArea type="data" outline="0" fieldPosition="0">
        <references count="2">
          <reference field="4294967294" count="1" selected="0">
            <x v="0"/>
          </reference>
          <reference field="0" count="1" selected="0">
            <x v="0"/>
          </reference>
        </references>
      </pivotArea>
    </chartFormat>
    <chartFormat chart="14" format="5" series="1">
      <pivotArea type="data" outline="0" fieldPosition="0">
        <references count="2">
          <reference field="4294967294" count="1" selected="0">
            <x v="0"/>
          </reference>
          <reference field="0" count="1" selected="0">
            <x v="1"/>
          </reference>
        </references>
      </pivotArea>
    </chartFormat>
    <chartFormat chart="16" format="0" series="1">
      <pivotArea type="data" outline="0" fieldPosition="0">
        <references count="2">
          <reference field="4294967294" count="1" selected="0">
            <x v="0"/>
          </reference>
          <reference field="0" count="1" selected="0">
            <x v="0"/>
          </reference>
        </references>
      </pivotArea>
    </chartFormat>
    <chartFormat chart="16" format="1" series="1">
      <pivotArea type="data" outline="0" fieldPosition="0">
        <references count="2">
          <reference field="4294967294" count="1" selected="0">
            <x v="0"/>
          </reference>
          <reference field="0" count="1" selected="0">
            <x v="1"/>
          </reference>
        </references>
      </pivotArea>
    </chartFormat>
    <chartFormat chart="20" format="12" series="1">
      <pivotArea type="data" outline="0" fieldPosition="0">
        <references count="2">
          <reference field="4294967294" count="1" selected="0">
            <x v="0"/>
          </reference>
          <reference field="0" count="1" selected="0">
            <x v="0"/>
          </reference>
        </references>
      </pivotArea>
    </chartFormat>
    <chartFormat chart="20" format="13">
      <pivotArea type="data" outline="0" fieldPosition="0">
        <references count="3">
          <reference field="4294967294" count="1" selected="0">
            <x v="0"/>
          </reference>
          <reference field="0" count="1" selected="0">
            <x v="0"/>
          </reference>
          <reference field="3" count="1" selected="0">
            <x v="0"/>
          </reference>
        </references>
      </pivotArea>
    </chartFormat>
    <chartFormat chart="20" format="14">
      <pivotArea type="data" outline="0" fieldPosition="0">
        <references count="3">
          <reference field="4294967294" count="1" selected="0">
            <x v="0"/>
          </reference>
          <reference field="0" count="1" selected="0">
            <x v="0"/>
          </reference>
          <reference field="3" count="1" selected="0">
            <x v="1"/>
          </reference>
        </references>
      </pivotArea>
    </chartFormat>
    <chartFormat chart="20" format="15">
      <pivotArea type="data" outline="0" fieldPosition="0">
        <references count="3">
          <reference field="4294967294" count="1" selected="0">
            <x v="0"/>
          </reference>
          <reference field="0" count="1" selected="0">
            <x v="0"/>
          </reference>
          <reference field="3" count="1" selected="0">
            <x v="2"/>
          </reference>
        </references>
      </pivotArea>
    </chartFormat>
    <chartFormat chart="20" format="16">
      <pivotArea type="data" outline="0" fieldPosition="0">
        <references count="3">
          <reference field="4294967294" count="1" selected="0">
            <x v="0"/>
          </reference>
          <reference field="0" count="1" selected="0">
            <x v="0"/>
          </reference>
          <reference field="3" count="1" selected="0">
            <x v="3"/>
          </reference>
        </references>
      </pivotArea>
    </chartFormat>
    <chartFormat chart="20" format="17" series="1">
      <pivotArea type="data" outline="0" fieldPosition="0">
        <references count="2">
          <reference field="4294967294" count="1" selected="0">
            <x v="0"/>
          </reference>
          <reference field="0" count="1" selected="0">
            <x v="1"/>
          </reference>
        </references>
      </pivotArea>
    </chartFormat>
    <chartFormat chart="20" format="18">
      <pivotArea type="data" outline="0" fieldPosition="0">
        <references count="3">
          <reference field="4294967294" count="1" selected="0">
            <x v="0"/>
          </reference>
          <reference field="0" count="1" selected="0">
            <x v="1"/>
          </reference>
          <reference field="3" count="1" selected="0">
            <x v="0"/>
          </reference>
        </references>
      </pivotArea>
    </chartFormat>
    <chartFormat chart="20" format="19">
      <pivotArea type="data" outline="0" fieldPosition="0">
        <references count="3">
          <reference field="4294967294" count="1" selected="0">
            <x v="0"/>
          </reference>
          <reference field="0" count="1" selected="0">
            <x v="1"/>
          </reference>
          <reference field="3" count="1" selected="0">
            <x v="1"/>
          </reference>
        </references>
      </pivotArea>
    </chartFormat>
    <chartFormat chart="20" format="20">
      <pivotArea type="data" outline="0" fieldPosition="0">
        <references count="3">
          <reference field="4294967294" count="1" selected="0">
            <x v="0"/>
          </reference>
          <reference field="0" count="1" selected="0">
            <x v="1"/>
          </reference>
          <reference field="3" count="1" selected="0">
            <x v="2"/>
          </reference>
        </references>
      </pivotArea>
    </chartFormat>
    <chartFormat chart="20" format="21">
      <pivotArea type="data" outline="0" fieldPosition="0">
        <references count="3">
          <reference field="4294967294" count="1" selected="0">
            <x v="0"/>
          </reference>
          <reference field="0" count="1" selected="0">
            <x v="1"/>
          </reference>
          <reference field="3" count="1" selected="0">
            <x v="3"/>
          </reference>
        </references>
      </pivotArea>
    </chartFormat>
    <chartFormat chart="24" format="0" series="1">
      <pivotArea type="data" outline="0" fieldPosition="0">
        <references count="2">
          <reference field="4294967294" count="1" selected="0">
            <x v="0"/>
          </reference>
          <reference field="0" count="1" selected="0">
            <x v="0"/>
          </reference>
        </references>
      </pivotArea>
    </chartFormat>
    <chartFormat chart="24" format="1" series="1">
      <pivotArea type="data" outline="0" fieldPosition="0">
        <references count="2">
          <reference field="4294967294" count="1" selected="0">
            <x v="0"/>
          </reference>
          <reference field="0" count="1" selected="0">
            <x v="1"/>
          </reference>
        </references>
      </pivotArea>
    </chartFormat>
    <chartFormat chart="27" format="4" series="1">
      <pivotArea type="data" outline="0" fieldPosition="0">
        <references count="2">
          <reference field="4294967294" count="1" selected="0">
            <x v="0"/>
          </reference>
          <reference field="0" count="1" selected="0">
            <x v="0"/>
          </reference>
        </references>
      </pivotArea>
    </chartFormat>
    <chartFormat chart="27"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558D38-0880-45DC-8D49-96422E932F31}" name="Tabela przestawna10" cacheId="0"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12" colHeaderCaption="YEAR">
  <location ref="A28:D35" firstHeaderRow="1" firstDataRow="3" firstDataCol="1"/>
  <pivotFields count="11">
    <pivotField axis="axisCol" showAll="0">
      <items count="3">
        <item sd="0" x="0"/>
        <item sd="0" x="1"/>
        <item t="default"/>
      </items>
    </pivotField>
    <pivotField showAll="0"/>
    <pivotField axis="axisCol" showAll="0">
      <items count="13">
        <item x="0"/>
        <item x="1"/>
        <item x="2"/>
        <item x="3"/>
        <item x="4"/>
        <item x="5"/>
        <item x="6"/>
        <item x="7"/>
        <item x="8"/>
        <item x="9"/>
        <item x="10"/>
        <item x="11"/>
        <item t="default"/>
      </items>
    </pivotField>
    <pivotField axis="axisRow" showAll="0" sortType="ascending">
      <items count="5">
        <item x="1"/>
        <item x="3"/>
        <item x="2"/>
        <item x="0"/>
        <item t="default"/>
      </items>
    </pivotField>
    <pivotField showAll="0"/>
    <pivotField dataField="1" showAll="0"/>
    <pivotField numFmtId="2" showAll="0"/>
    <pivotField showAll="0"/>
    <pivotField numFmtId="4" showAll="0"/>
    <pivotField numFmtId="164" showAll="0"/>
    <pivotField dragToRow="0" dragToCol="0" dragToPage="0" showAll="0" defaultSubtotal="0"/>
  </pivotFields>
  <rowFields count="1">
    <field x="3"/>
  </rowFields>
  <rowItems count="5">
    <i>
      <x/>
    </i>
    <i>
      <x v="1"/>
    </i>
    <i>
      <x v="2"/>
    </i>
    <i>
      <x v="3"/>
    </i>
    <i t="grand">
      <x/>
    </i>
  </rowItems>
  <colFields count="2">
    <field x="0"/>
    <field x="2"/>
  </colFields>
  <colItems count="3">
    <i>
      <x/>
    </i>
    <i>
      <x v="1"/>
    </i>
    <i t="grand">
      <x/>
    </i>
  </colItems>
  <dataFields count="1">
    <dataField name="Suma z Revenue" fld="5" baseField="0" baseItem="0"/>
  </dataFields>
  <formats count="2">
    <format dxfId="21">
      <pivotArea outline="0" collapsedLevelsAreSubtotals="1" fieldPosition="0"/>
    </format>
    <format dxfId="20">
      <pivotArea collapsedLevelsAreSubtotals="1" fieldPosition="0">
        <references count="2">
          <reference field="0" count="1" selected="0">
            <x v="1"/>
          </reference>
          <reference field="3" count="1">
            <x v="2"/>
          </reference>
        </references>
      </pivotArea>
    </format>
  </formats>
  <chartFormats count="10">
    <chartFormat chart="11" format="17" series="1">
      <pivotArea type="data" outline="0" fieldPosition="0">
        <references count="2">
          <reference field="4294967294" count="1" selected="0">
            <x v="0"/>
          </reference>
          <reference field="0" count="1" selected="0">
            <x v="1"/>
          </reference>
        </references>
      </pivotArea>
    </chartFormat>
    <chartFormat chart="11" format="18">
      <pivotArea type="data" outline="0" fieldPosition="0">
        <references count="3">
          <reference field="4294967294" count="1" selected="0">
            <x v="0"/>
          </reference>
          <reference field="0" count="1" selected="0">
            <x v="1"/>
          </reference>
          <reference field="3" count="1" selected="0">
            <x v="0"/>
          </reference>
        </references>
      </pivotArea>
    </chartFormat>
    <chartFormat chart="11" format="19">
      <pivotArea type="data" outline="0" fieldPosition="0">
        <references count="3">
          <reference field="4294967294" count="1" selected="0">
            <x v="0"/>
          </reference>
          <reference field="0" count="1" selected="0">
            <x v="1"/>
          </reference>
          <reference field="3" count="1" selected="0">
            <x v="1"/>
          </reference>
        </references>
      </pivotArea>
    </chartFormat>
    <chartFormat chart="11" format="20">
      <pivotArea type="data" outline="0" fieldPosition="0">
        <references count="3">
          <reference field="4294967294" count="1" selected="0">
            <x v="0"/>
          </reference>
          <reference field="0" count="1" selected="0">
            <x v="1"/>
          </reference>
          <reference field="3" count="1" selected="0">
            <x v="2"/>
          </reference>
        </references>
      </pivotArea>
    </chartFormat>
    <chartFormat chart="11" format="21">
      <pivotArea type="data" outline="0" fieldPosition="0">
        <references count="3">
          <reference field="4294967294" count="1" selected="0">
            <x v="0"/>
          </reference>
          <reference field="0" count="1" selected="0">
            <x v="1"/>
          </reference>
          <reference field="3" count="1" selected="0">
            <x v="3"/>
          </reference>
        </references>
      </pivotArea>
    </chartFormat>
    <chartFormat chart="11" format="22" series="1">
      <pivotArea type="data" outline="0" fieldPosition="0">
        <references count="2">
          <reference field="4294967294" count="1" selected="0">
            <x v="0"/>
          </reference>
          <reference field="0" count="1" selected="0">
            <x v="0"/>
          </reference>
        </references>
      </pivotArea>
    </chartFormat>
    <chartFormat chart="11" format="23">
      <pivotArea type="data" outline="0" fieldPosition="0">
        <references count="3">
          <reference field="4294967294" count="1" selected="0">
            <x v="0"/>
          </reference>
          <reference field="0" count="1" selected="0">
            <x v="0"/>
          </reference>
          <reference field="3" count="1" selected="0">
            <x v="0"/>
          </reference>
        </references>
      </pivotArea>
    </chartFormat>
    <chartFormat chart="11" format="24">
      <pivotArea type="data" outline="0" fieldPosition="0">
        <references count="3">
          <reference field="4294967294" count="1" selected="0">
            <x v="0"/>
          </reference>
          <reference field="0" count="1" selected="0">
            <x v="0"/>
          </reference>
          <reference field="3" count="1" selected="0">
            <x v="1"/>
          </reference>
        </references>
      </pivotArea>
    </chartFormat>
    <chartFormat chart="11" format="25">
      <pivotArea type="data" outline="0" fieldPosition="0">
        <references count="3">
          <reference field="4294967294" count="1" selected="0">
            <x v="0"/>
          </reference>
          <reference field="0" count="1" selected="0">
            <x v="0"/>
          </reference>
          <reference field="3" count="1" selected="0">
            <x v="2"/>
          </reference>
        </references>
      </pivotArea>
    </chartFormat>
    <chartFormat chart="11" format="26">
      <pivotArea type="data" outline="0" fieldPosition="0">
        <references count="3">
          <reference field="4294967294" count="1" selected="0">
            <x v="0"/>
          </reference>
          <reference field="0"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CB9DB5-2AAF-41CC-8D32-49B883CB4D91}" name="Tabela przestawna9" cacheId="0"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13" rowHeaderCaption="YEAR">
  <location ref="A108:C135" firstHeaderRow="0" firstDataRow="1" firstDataCol="1"/>
  <pivotFields count="11">
    <pivotField axis="axisRow" showAll="0">
      <items count="3">
        <item x="0"/>
        <item x="1"/>
        <item t="default"/>
      </items>
    </pivotField>
    <pivotField showAll="0"/>
    <pivotField axis="axisRow" showAll="0">
      <items count="13">
        <item x="0"/>
        <item x="1"/>
        <item x="2"/>
        <item x="3"/>
        <item x="4"/>
        <item x="5"/>
        <item x="6"/>
        <item x="7"/>
        <item x="8"/>
        <item x="9"/>
        <item x="10"/>
        <item x="11"/>
        <item t="default"/>
      </items>
    </pivotField>
    <pivotField showAll="0"/>
    <pivotField showAll="0"/>
    <pivotField dataField="1" numFmtId="4" showAll="0"/>
    <pivotField dataField="1" numFmtId="4" showAll="0"/>
    <pivotField showAll="0"/>
    <pivotField numFmtId="4" showAll="0"/>
    <pivotField numFmtId="1" showAll="0"/>
    <pivotField dragToRow="0" dragToCol="0" dragToPage="0" showAll="0" defaultSubtotal="0"/>
  </pivotFields>
  <rowFields count="2">
    <field x="0"/>
    <field x="2"/>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Fields count="1">
    <field x="-2"/>
  </colFields>
  <colItems count="2">
    <i>
      <x/>
    </i>
    <i i="1">
      <x v="1"/>
    </i>
  </colItems>
  <dataFields count="2">
    <dataField name="Suma z Revenue" fld="5" baseField="0" baseItem="0" numFmtId="4"/>
    <dataField name="Suma z Cost" fld="6" baseField="0" baseItem="0" numFmtId="4"/>
  </dataFields>
  <chartFormats count="8">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9A52E6-A21D-4086-8ED0-E00885D4159D}" name="Tabela przestawna4" cacheId="0"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28" colHeaderCaption="YEAR">
  <location ref="A75:N87" firstHeaderRow="1" firstDataRow="2" firstDataCol="1"/>
  <pivotFields count="11">
    <pivotField axis="axisRow" showAll="0">
      <items count="3">
        <item x="0"/>
        <item x="1"/>
        <item t="default"/>
      </items>
    </pivotField>
    <pivotField showAll="0"/>
    <pivotField axis="axisCol" showAll="0">
      <items count="13">
        <item x="0"/>
        <item x="1"/>
        <item x="2"/>
        <item x="3"/>
        <item x="4"/>
        <item x="5"/>
        <item x="6"/>
        <item x="7"/>
        <item x="8"/>
        <item x="9"/>
        <item x="10"/>
        <item x="11"/>
        <item t="default"/>
      </items>
    </pivotField>
    <pivotField axis="axisRow" showAll="0">
      <items count="5">
        <item x="1"/>
        <item x="3"/>
        <item x="2"/>
        <item x="0"/>
        <item t="default"/>
      </items>
    </pivotField>
    <pivotField showAll="0"/>
    <pivotField showAll="0"/>
    <pivotField numFmtId="2" showAll="0"/>
    <pivotField showAll="0"/>
    <pivotField numFmtId="4" showAll="0"/>
    <pivotField dataField="1" numFmtId="164" showAll="0"/>
    <pivotField dragToRow="0" dragToCol="0" dragToPage="0" showAll="0" defaultSubtotal="0"/>
  </pivotFields>
  <rowFields count="2">
    <field x="0"/>
    <field x="3"/>
  </rowFields>
  <rowItems count="11">
    <i>
      <x/>
    </i>
    <i r="1">
      <x/>
    </i>
    <i r="1">
      <x v="1"/>
    </i>
    <i r="1">
      <x v="2"/>
    </i>
    <i r="1">
      <x v="3"/>
    </i>
    <i>
      <x v="1"/>
    </i>
    <i r="1">
      <x/>
    </i>
    <i r="1">
      <x v="1"/>
    </i>
    <i r="1">
      <x v="2"/>
    </i>
    <i r="1">
      <x v="3"/>
    </i>
    <i t="grand">
      <x/>
    </i>
  </rowItems>
  <colFields count="1">
    <field x="2"/>
  </colFields>
  <colItems count="13">
    <i>
      <x/>
    </i>
    <i>
      <x v="1"/>
    </i>
    <i>
      <x v="2"/>
    </i>
    <i>
      <x v="3"/>
    </i>
    <i>
      <x v="4"/>
    </i>
    <i>
      <x v="5"/>
    </i>
    <i>
      <x v="6"/>
    </i>
    <i>
      <x v="7"/>
    </i>
    <i>
      <x v="8"/>
    </i>
    <i>
      <x v="9"/>
    </i>
    <i>
      <x v="10"/>
    </i>
    <i>
      <x v="11"/>
    </i>
    <i t="grand">
      <x/>
    </i>
  </colItems>
  <dataFields count="1">
    <dataField name="Suma z Shipments" fld="9" baseField="0" baseItem="0" numFmtId="1"/>
  </dataFields>
  <formats count="4">
    <format dxfId="25">
      <pivotArea outline="0" collapsedLevelsAreSubtotals="1" fieldPosition="0"/>
    </format>
    <format dxfId="24">
      <pivotArea collapsedLevelsAreSubtotals="1" fieldPosition="0">
        <references count="3">
          <reference field="0" count="1" selected="0">
            <x v="0"/>
          </reference>
          <reference field="2" count="2" selected="0">
            <x v="10"/>
            <x v="11"/>
          </reference>
          <reference field="3" count="1">
            <x v="2"/>
          </reference>
        </references>
      </pivotArea>
    </format>
    <format dxfId="23">
      <pivotArea collapsedLevelsAreSubtotals="1" fieldPosition="0">
        <references count="3">
          <reference field="0" count="1" selected="0">
            <x v="0"/>
          </reference>
          <reference field="2" count="1" selected="0">
            <x v="10"/>
          </reference>
          <reference field="3" count="1">
            <x v="2"/>
          </reference>
        </references>
      </pivotArea>
    </format>
    <format dxfId="22">
      <pivotArea collapsedLevelsAreSubtotals="1" fieldPosition="0">
        <references count="3">
          <reference field="0" count="1" selected="0">
            <x v="0"/>
          </reference>
          <reference field="2" count="1" selected="0">
            <x v="11"/>
          </reference>
          <reference field="3" count="1">
            <x v="2"/>
          </reference>
        </references>
      </pivotArea>
    </format>
  </formats>
  <chartFormats count="60">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2" format="4" series="1">
      <pivotArea type="data" outline="0" fieldPosition="0">
        <references count="2">
          <reference field="4294967294" count="1" selected="0">
            <x v="0"/>
          </reference>
          <reference field="2" count="1" selected="0">
            <x v="4"/>
          </reference>
        </references>
      </pivotArea>
    </chartFormat>
    <chartFormat chart="2" format="5" series="1">
      <pivotArea type="data" outline="0" fieldPosition="0">
        <references count="2">
          <reference field="4294967294" count="1" selected="0">
            <x v="0"/>
          </reference>
          <reference field="2" count="1" selected="0">
            <x v="5"/>
          </reference>
        </references>
      </pivotArea>
    </chartFormat>
    <chartFormat chart="2" format="6" series="1">
      <pivotArea type="data" outline="0" fieldPosition="0">
        <references count="2">
          <reference field="4294967294" count="1" selected="0">
            <x v="0"/>
          </reference>
          <reference field="2" count="1" selected="0">
            <x v="6"/>
          </reference>
        </references>
      </pivotArea>
    </chartFormat>
    <chartFormat chart="2" format="7" series="1">
      <pivotArea type="data" outline="0" fieldPosition="0">
        <references count="2">
          <reference field="4294967294" count="1" selected="0">
            <x v="0"/>
          </reference>
          <reference field="2" count="1" selected="0">
            <x v="7"/>
          </reference>
        </references>
      </pivotArea>
    </chartFormat>
    <chartFormat chart="2" format="8" series="1">
      <pivotArea type="data" outline="0" fieldPosition="0">
        <references count="2">
          <reference field="4294967294" count="1" selected="0">
            <x v="0"/>
          </reference>
          <reference field="2" count="1" selected="0">
            <x v="8"/>
          </reference>
        </references>
      </pivotArea>
    </chartFormat>
    <chartFormat chart="2" format="9" series="1">
      <pivotArea type="data" outline="0" fieldPosition="0">
        <references count="2">
          <reference field="4294967294" count="1" selected="0">
            <x v="0"/>
          </reference>
          <reference field="2" count="1" selected="0">
            <x v="9"/>
          </reference>
        </references>
      </pivotArea>
    </chartFormat>
    <chartFormat chart="2" format="10" series="1">
      <pivotArea type="data" outline="0" fieldPosition="0">
        <references count="2">
          <reference field="4294967294" count="1" selected="0">
            <x v="0"/>
          </reference>
          <reference field="2" count="1" selected="0">
            <x v="10"/>
          </reference>
        </references>
      </pivotArea>
    </chartFormat>
    <chartFormat chart="2" format="11" series="1">
      <pivotArea type="data" outline="0" fieldPosition="0">
        <references count="2">
          <reference field="4294967294" count="1" selected="0">
            <x v="0"/>
          </reference>
          <reference field="2" count="1" selected="0">
            <x v="11"/>
          </reference>
        </references>
      </pivotArea>
    </chartFormat>
    <chartFormat chart="8" format="24" series="1">
      <pivotArea type="data" outline="0" fieldPosition="0">
        <references count="2">
          <reference field="4294967294" count="1" selected="0">
            <x v="0"/>
          </reference>
          <reference field="2" count="1" selected="0">
            <x v="0"/>
          </reference>
        </references>
      </pivotArea>
    </chartFormat>
    <chartFormat chart="8" format="25" series="1">
      <pivotArea type="data" outline="0" fieldPosition="0">
        <references count="2">
          <reference field="4294967294" count="1" selected="0">
            <x v="0"/>
          </reference>
          <reference field="2" count="1" selected="0">
            <x v="1"/>
          </reference>
        </references>
      </pivotArea>
    </chartFormat>
    <chartFormat chart="8" format="26" series="1">
      <pivotArea type="data" outline="0" fieldPosition="0">
        <references count="2">
          <reference field="4294967294" count="1" selected="0">
            <x v="0"/>
          </reference>
          <reference field="2" count="1" selected="0">
            <x v="2"/>
          </reference>
        </references>
      </pivotArea>
    </chartFormat>
    <chartFormat chart="8" format="27" series="1">
      <pivotArea type="data" outline="0" fieldPosition="0">
        <references count="2">
          <reference field="4294967294" count="1" selected="0">
            <x v="0"/>
          </reference>
          <reference field="2" count="1" selected="0">
            <x v="3"/>
          </reference>
        </references>
      </pivotArea>
    </chartFormat>
    <chartFormat chart="8" format="28" series="1">
      <pivotArea type="data" outline="0" fieldPosition="0">
        <references count="2">
          <reference field="4294967294" count="1" selected="0">
            <x v="0"/>
          </reference>
          <reference field="2" count="1" selected="0">
            <x v="4"/>
          </reference>
        </references>
      </pivotArea>
    </chartFormat>
    <chartFormat chart="8" format="29" series="1">
      <pivotArea type="data" outline="0" fieldPosition="0">
        <references count="2">
          <reference field="4294967294" count="1" selected="0">
            <x v="0"/>
          </reference>
          <reference field="2" count="1" selected="0">
            <x v="5"/>
          </reference>
        </references>
      </pivotArea>
    </chartFormat>
    <chartFormat chart="8" format="30" series="1">
      <pivotArea type="data" outline="0" fieldPosition="0">
        <references count="2">
          <reference field="4294967294" count="1" selected="0">
            <x v="0"/>
          </reference>
          <reference field="2" count="1" selected="0">
            <x v="6"/>
          </reference>
        </references>
      </pivotArea>
    </chartFormat>
    <chartFormat chart="8" format="31" series="1">
      <pivotArea type="data" outline="0" fieldPosition="0">
        <references count="2">
          <reference field="4294967294" count="1" selected="0">
            <x v="0"/>
          </reference>
          <reference field="2" count="1" selected="0">
            <x v="7"/>
          </reference>
        </references>
      </pivotArea>
    </chartFormat>
    <chartFormat chart="8" format="32" series="1">
      <pivotArea type="data" outline="0" fieldPosition="0">
        <references count="2">
          <reference field="4294967294" count="1" selected="0">
            <x v="0"/>
          </reference>
          <reference field="2" count="1" selected="0">
            <x v="8"/>
          </reference>
        </references>
      </pivotArea>
    </chartFormat>
    <chartFormat chart="8" format="33" series="1">
      <pivotArea type="data" outline="0" fieldPosition="0">
        <references count="2">
          <reference field="4294967294" count="1" selected="0">
            <x v="0"/>
          </reference>
          <reference field="2" count="1" selected="0">
            <x v="9"/>
          </reference>
        </references>
      </pivotArea>
    </chartFormat>
    <chartFormat chart="8" format="34" series="1">
      <pivotArea type="data" outline="0" fieldPosition="0">
        <references count="2">
          <reference field="4294967294" count="1" selected="0">
            <x v="0"/>
          </reference>
          <reference field="2" count="1" selected="0">
            <x v="10"/>
          </reference>
        </references>
      </pivotArea>
    </chartFormat>
    <chartFormat chart="8" format="35" series="1">
      <pivotArea type="data" outline="0" fieldPosition="0">
        <references count="2">
          <reference field="4294967294" count="1" selected="0">
            <x v="0"/>
          </reference>
          <reference field="2" count="1" selected="0">
            <x v="11"/>
          </reference>
        </references>
      </pivotArea>
    </chartFormat>
    <chartFormat chart="23" format="24" series="1">
      <pivotArea type="data" outline="0" fieldPosition="0">
        <references count="2">
          <reference field="4294967294" count="1" selected="0">
            <x v="0"/>
          </reference>
          <reference field="2" count="1" selected="0">
            <x v="0"/>
          </reference>
        </references>
      </pivotArea>
    </chartFormat>
    <chartFormat chart="23" format="25" series="1">
      <pivotArea type="data" outline="0" fieldPosition="0">
        <references count="2">
          <reference field="4294967294" count="1" selected="0">
            <x v="0"/>
          </reference>
          <reference field="2" count="1" selected="0">
            <x v="1"/>
          </reference>
        </references>
      </pivotArea>
    </chartFormat>
    <chartFormat chart="23" format="26" series="1">
      <pivotArea type="data" outline="0" fieldPosition="0">
        <references count="2">
          <reference field="4294967294" count="1" selected="0">
            <x v="0"/>
          </reference>
          <reference field="2" count="1" selected="0">
            <x v="2"/>
          </reference>
        </references>
      </pivotArea>
    </chartFormat>
    <chartFormat chart="23" format="27" series="1">
      <pivotArea type="data" outline="0" fieldPosition="0">
        <references count="2">
          <reference field="4294967294" count="1" selected="0">
            <x v="0"/>
          </reference>
          <reference field="2" count="1" selected="0">
            <x v="3"/>
          </reference>
        </references>
      </pivotArea>
    </chartFormat>
    <chartFormat chart="23" format="28" series="1">
      <pivotArea type="data" outline="0" fieldPosition="0">
        <references count="2">
          <reference field="4294967294" count="1" selected="0">
            <x v="0"/>
          </reference>
          <reference field="2" count="1" selected="0">
            <x v="4"/>
          </reference>
        </references>
      </pivotArea>
    </chartFormat>
    <chartFormat chart="23" format="29" series="1">
      <pivotArea type="data" outline="0" fieldPosition="0">
        <references count="2">
          <reference field="4294967294" count="1" selected="0">
            <x v="0"/>
          </reference>
          <reference field="2" count="1" selected="0">
            <x v="5"/>
          </reference>
        </references>
      </pivotArea>
    </chartFormat>
    <chartFormat chart="23" format="30" series="1">
      <pivotArea type="data" outline="0" fieldPosition="0">
        <references count="2">
          <reference field="4294967294" count="1" selected="0">
            <x v="0"/>
          </reference>
          <reference field="2" count="1" selected="0">
            <x v="6"/>
          </reference>
        </references>
      </pivotArea>
    </chartFormat>
    <chartFormat chart="23" format="31" series="1">
      <pivotArea type="data" outline="0" fieldPosition="0">
        <references count="2">
          <reference field="4294967294" count="1" selected="0">
            <x v="0"/>
          </reference>
          <reference field="2" count="1" selected="0">
            <x v="7"/>
          </reference>
        </references>
      </pivotArea>
    </chartFormat>
    <chartFormat chart="23" format="32" series="1">
      <pivotArea type="data" outline="0" fieldPosition="0">
        <references count="2">
          <reference field="4294967294" count="1" selected="0">
            <x v="0"/>
          </reference>
          <reference field="2" count="1" selected="0">
            <x v="8"/>
          </reference>
        </references>
      </pivotArea>
    </chartFormat>
    <chartFormat chart="23" format="33" series="1">
      <pivotArea type="data" outline="0" fieldPosition="0">
        <references count="2">
          <reference field="4294967294" count="1" selected="0">
            <x v="0"/>
          </reference>
          <reference field="2" count="1" selected="0">
            <x v="9"/>
          </reference>
        </references>
      </pivotArea>
    </chartFormat>
    <chartFormat chart="23" format="34" series="1">
      <pivotArea type="data" outline="0" fieldPosition="0">
        <references count="2">
          <reference field="4294967294" count="1" selected="0">
            <x v="0"/>
          </reference>
          <reference field="2" count="1" selected="0">
            <x v="10"/>
          </reference>
        </references>
      </pivotArea>
    </chartFormat>
    <chartFormat chart="23" format="35" series="1">
      <pivotArea type="data" outline="0" fieldPosition="0">
        <references count="2">
          <reference field="4294967294" count="1" selected="0">
            <x v="0"/>
          </reference>
          <reference field="2" count="1" selected="0">
            <x v="11"/>
          </reference>
        </references>
      </pivotArea>
    </chartFormat>
    <chartFormat chart="24" format="0" series="1">
      <pivotArea type="data" outline="0" fieldPosition="0">
        <references count="2">
          <reference field="4294967294" count="1" selected="0">
            <x v="0"/>
          </reference>
          <reference field="2" count="1" selected="0">
            <x v="0"/>
          </reference>
        </references>
      </pivotArea>
    </chartFormat>
    <chartFormat chart="24" format="1" series="1">
      <pivotArea type="data" outline="0" fieldPosition="0">
        <references count="2">
          <reference field="4294967294" count="1" selected="0">
            <x v="0"/>
          </reference>
          <reference field="2" count="1" selected="0">
            <x v="1"/>
          </reference>
        </references>
      </pivotArea>
    </chartFormat>
    <chartFormat chart="24" format="2" series="1">
      <pivotArea type="data" outline="0" fieldPosition="0">
        <references count="2">
          <reference field="4294967294" count="1" selected="0">
            <x v="0"/>
          </reference>
          <reference field="2" count="1" selected="0">
            <x v="2"/>
          </reference>
        </references>
      </pivotArea>
    </chartFormat>
    <chartFormat chart="24" format="3" series="1">
      <pivotArea type="data" outline="0" fieldPosition="0">
        <references count="2">
          <reference field="4294967294" count="1" selected="0">
            <x v="0"/>
          </reference>
          <reference field="2" count="1" selected="0">
            <x v="3"/>
          </reference>
        </references>
      </pivotArea>
    </chartFormat>
    <chartFormat chart="24" format="4" series="1">
      <pivotArea type="data" outline="0" fieldPosition="0">
        <references count="2">
          <reference field="4294967294" count="1" selected="0">
            <x v="0"/>
          </reference>
          <reference field="2" count="1" selected="0">
            <x v="4"/>
          </reference>
        </references>
      </pivotArea>
    </chartFormat>
    <chartFormat chart="24" format="5" series="1">
      <pivotArea type="data" outline="0" fieldPosition="0">
        <references count="2">
          <reference field="4294967294" count="1" selected="0">
            <x v="0"/>
          </reference>
          <reference field="2" count="1" selected="0">
            <x v="5"/>
          </reference>
        </references>
      </pivotArea>
    </chartFormat>
    <chartFormat chart="24" format="6" series="1">
      <pivotArea type="data" outline="0" fieldPosition="0">
        <references count="2">
          <reference field="4294967294" count="1" selected="0">
            <x v="0"/>
          </reference>
          <reference field="2" count="1" selected="0">
            <x v="6"/>
          </reference>
        </references>
      </pivotArea>
    </chartFormat>
    <chartFormat chart="24" format="7" series="1">
      <pivotArea type="data" outline="0" fieldPosition="0">
        <references count="2">
          <reference field="4294967294" count="1" selected="0">
            <x v="0"/>
          </reference>
          <reference field="2" count="1" selected="0">
            <x v="7"/>
          </reference>
        </references>
      </pivotArea>
    </chartFormat>
    <chartFormat chart="24" format="8" series="1">
      <pivotArea type="data" outline="0" fieldPosition="0">
        <references count="2">
          <reference field="4294967294" count="1" selected="0">
            <x v="0"/>
          </reference>
          <reference field="2" count="1" selected="0">
            <x v="8"/>
          </reference>
        </references>
      </pivotArea>
    </chartFormat>
    <chartFormat chart="24" format="9" series="1">
      <pivotArea type="data" outline="0" fieldPosition="0">
        <references count="2">
          <reference field="4294967294" count="1" selected="0">
            <x v="0"/>
          </reference>
          <reference field="2" count="1" selected="0">
            <x v="9"/>
          </reference>
        </references>
      </pivotArea>
    </chartFormat>
    <chartFormat chart="24" format="10" series="1">
      <pivotArea type="data" outline="0" fieldPosition="0">
        <references count="2">
          <reference field="4294967294" count="1" selected="0">
            <x v="0"/>
          </reference>
          <reference field="2" count="1" selected="0">
            <x v="10"/>
          </reference>
        </references>
      </pivotArea>
    </chartFormat>
    <chartFormat chart="24" format="11" series="1">
      <pivotArea type="data" outline="0" fieldPosition="0">
        <references count="2">
          <reference field="4294967294" count="1" selected="0">
            <x v="0"/>
          </reference>
          <reference field="2" count="1" selected="0">
            <x v="11"/>
          </reference>
        </references>
      </pivotArea>
    </chartFormat>
    <chartFormat chart="27" format="24" series="1">
      <pivotArea type="data" outline="0" fieldPosition="0">
        <references count="2">
          <reference field="4294967294" count="1" selected="0">
            <x v="0"/>
          </reference>
          <reference field="2" count="1" selected="0">
            <x v="0"/>
          </reference>
        </references>
      </pivotArea>
    </chartFormat>
    <chartFormat chart="27" format="25" series="1">
      <pivotArea type="data" outline="0" fieldPosition="0">
        <references count="2">
          <reference field="4294967294" count="1" selected="0">
            <x v="0"/>
          </reference>
          <reference field="2" count="1" selected="0">
            <x v="1"/>
          </reference>
        </references>
      </pivotArea>
    </chartFormat>
    <chartFormat chart="27" format="26" series="1">
      <pivotArea type="data" outline="0" fieldPosition="0">
        <references count="2">
          <reference field="4294967294" count="1" selected="0">
            <x v="0"/>
          </reference>
          <reference field="2" count="1" selected="0">
            <x v="2"/>
          </reference>
        </references>
      </pivotArea>
    </chartFormat>
    <chartFormat chart="27" format="27" series="1">
      <pivotArea type="data" outline="0" fieldPosition="0">
        <references count="2">
          <reference field="4294967294" count="1" selected="0">
            <x v="0"/>
          </reference>
          <reference field="2" count="1" selected="0">
            <x v="3"/>
          </reference>
        </references>
      </pivotArea>
    </chartFormat>
    <chartFormat chart="27" format="28" series="1">
      <pivotArea type="data" outline="0" fieldPosition="0">
        <references count="2">
          <reference field="4294967294" count="1" selected="0">
            <x v="0"/>
          </reference>
          <reference field="2" count="1" selected="0">
            <x v="4"/>
          </reference>
        </references>
      </pivotArea>
    </chartFormat>
    <chartFormat chart="27" format="29" series="1">
      <pivotArea type="data" outline="0" fieldPosition="0">
        <references count="2">
          <reference field="4294967294" count="1" selected="0">
            <x v="0"/>
          </reference>
          <reference field="2" count="1" selected="0">
            <x v="5"/>
          </reference>
        </references>
      </pivotArea>
    </chartFormat>
    <chartFormat chart="27" format="30" series="1">
      <pivotArea type="data" outline="0" fieldPosition="0">
        <references count="2">
          <reference field="4294967294" count="1" selected="0">
            <x v="0"/>
          </reference>
          <reference field="2" count="1" selected="0">
            <x v="6"/>
          </reference>
        </references>
      </pivotArea>
    </chartFormat>
    <chartFormat chart="27" format="31" series="1">
      <pivotArea type="data" outline="0" fieldPosition="0">
        <references count="2">
          <reference field="4294967294" count="1" selected="0">
            <x v="0"/>
          </reference>
          <reference field="2" count="1" selected="0">
            <x v="7"/>
          </reference>
        </references>
      </pivotArea>
    </chartFormat>
    <chartFormat chart="27" format="32" series="1">
      <pivotArea type="data" outline="0" fieldPosition="0">
        <references count="2">
          <reference field="4294967294" count="1" selected="0">
            <x v="0"/>
          </reference>
          <reference field="2" count="1" selected="0">
            <x v="8"/>
          </reference>
        </references>
      </pivotArea>
    </chartFormat>
    <chartFormat chart="27" format="33" series="1">
      <pivotArea type="data" outline="0" fieldPosition="0">
        <references count="2">
          <reference field="4294967294" count="1" selected="0">
            <x v="0"/>
          </reference>
          <reference field="2" count="1" selected="0">
            <x v="9"/>
          </reference>
        </references>
      </pivotArea>
    </chartFormat>
    <chartFormat chart="27" format="34" series="1">
      <pivotArea type="data" outline="0" fieldPosition="0">
        <references count="2">
          <reference field="4294967294" count="1" selected="0">
            <x v="0"/>
          </reference>
          <reference field="2" count="1" selected="0">
            <x v="10"/>
          </reference>
        </references>
      </pivotArea>
    </chartFormat>
    <chartFormat chart="27" format="35" series="1">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11B7E8-8415-49F1-BB03-1710B801DAFC}" name="Tabela przestawna8" cacheId="0"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olHeaderCaption="YEAR">
  <location ref="A51:D59" firstHeaderRow="1" firstDataRow="3" firstDataCol="1"/>
  <pivotFields count="11">
    <pivotField axis="axisCol" showAll="0">
      <items count="3">
        <item sd="0" x="0"/>
        <item sd="0" x="1"/>
        <item t="default"/>
      </items>
    </pivotField>
    <pivotField showAll="0"/>
    <pivotField axis="axisCol" showAll="0">
      <items count="13">
        <item x="0"/>
        <item x="1"/>
        <item x="2"/>
        <item x="3"/>
        <item x="4"/>
        <item x="5"/>
        <item x="6"/>
        <item x="7"/>
        <item x="8"/>
        <item x="9"/>
        <item x="10"/>
        <item x="11"/>
        <item t="default"/>
      </items>
    </pivotField>
    <pivotField showAll="0"/>
    <pivotField axis="axisRow" showAll="0">
      <items count="6">
        <item x="1"/>
        <item x="4"/>
        <item x="0"/>
        <item x="3"/>
        <item x="2"/>
        <item t="default"/>
      </items>
    </pivotField>
    <pivotField dataField="1" showAll="0"/>
    <pivotField numFmtId="2" showAll="0"/>
    <pivotField showAll="0"/>
    <pivotField numFmtId="4" showAll="0"/>
    <pivotField numFmtId="164" showAll="0"/>
    <pivotField dragToRow="0" dragToCol="0" dragToPage="0" showAll="0" defaultSubtotal="0"/>
  </pivotFields>
  <rowFields count="1">
    <field x="4"/>
  </rowFields>
  <rowItems count="6">
    <i>
      <x/>
    </i>
    <i>
      <x v="1"/>
    </i>
    <i>
      <x v="2"/>
    </i>
    <i>
      <x v="3"/>
    </i>
    <i>
      <x v="4"/>
    </i>
    <i t="grand">
      <x/>
    </i>
  </rowItems>
  <colFields count="2">
    <field x="0"/>
    <field x="2"/>
  </colFields>
  <colItems count="3">
    <i>
      <x/>
    </i>
    <i>
      <x v="1"/>
    </i>
    <i t="grand">
      <x/>
    </i>
  </colItems>
  <dataFields count="1">
    <dataField name="Suma z Revenue" fld="5" baseField="0" baseItem="0" numFmtId="3"/>
  </dataFields>
  <formats count="2">
    <format dxfId="27">
      <pivotArea outline="0" collapsedLevelsAreSubtotals="1" fieldPosition="0"/>
    </format>
    <format dxfId="26">
      <pivotArea collapsedLevelsAreSubtotals="1" fieldPosition="0">
        <references count="2">
          <reference field="0" count="1" selected="0">
            <x v="1"/>
          </reference>
          <reference field="4"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9F89BE-49A4-427E-A58C-6D090DAF4B73}" name="Tabela przestawna3" cacheId="0"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olHeaderCaption="YEAR">
  <location ref="A39:D46" firstHeaderRow="1" firstDataRow="3" firstDataCol="1"/>
  <pivotFields count="11">
    <pivotField axis="axisCol" showAll="0">
      <items count="3">
        <item sd="0" x="0"/>
        <item sd="0" x="1"/>
        <item t="default"/>
      </items>
    </pivotField>
    <pivotField showAll="0"/>
    <pivotField axis="axisCol" showAll="0">
      <items count="13">
        <item x="0"/>
        <item x="1"/>
        <item x="2"/>
        <item x="3"/>
        <item x="4"/>
        <item x="5"/>
        <item x="6"/>
        <item x="7"/>
        <item x="8"/>
        <item x="9"/>
        <item x="10"/>
        <item x="11"/>
        <item t="default"/>
      </items>
    </pivotField>
    <pivotField axis="axisRow" showAll="0">
      <items count="5">
        <item x="1"/>
        <item x="3"/>
        <item x="2"/>
        <item x="0"/>
        <item t="default"/>
      </items>
    </pivotField>
    <pivotField showAll="0"/>
    <pivotField showAll="0"/>
    <pivotField dataField="1" numFmtId="2" showAll="0"/>
    <pivotField showAll="0"/>
    <pivotField numFmtId="4" showAll="0"/>
    <pivotField numFmtId="164" showAll="0"/>
    <pivotField dragToRow="0" dragToCol="0" dragToPage="0" showAll="0" defaultSubtotal="0"/>
  </pivotFields>
  <rowFields count="1">
    <field x="3"/>
  </rowFields>
  <rowItems count="5">
    <i>
      <x/>
    </i>
    <i>
      <x v="1"/>
    </i>
    <i>
      <x v="2"/>
    </i>
    <i>
      <x v="3"/>
    </i>
    <i t="grand">
      <x/>
    </i>
  </rowItems>
  <colFields count="2">
    <field x="0"/>
    <field x="2"/>
  </colFields>
  <colItems count="3">
    <i>
      <x/>
    </i>
    <i>
      <x v="1"/>
    </i>
    <i t="grand">
      <x/>
    </i>
  </colItems>
  <dataFields count="1">
    <dataField name="Suma z Cost" fld="6" baseField="0" baseItem="0" numFmtId="4"/>
  </dataFields>
  <formats count="4">
    <format dxfId="31">
      <pivotArea collapsedLevelsAreSubtotals="1" fieldPosition="0">
        <references count="1">
          <reference field="0" count="0"/>
        </references>
      </pivotArea>
    </format>
    <format dxfId="30">
      <pivotArea outline="0" collapsedLevelsAreSubtotals="1" fieldPosition="0"/>
    </format>
    <format dxfId="29">
      <pivotArea outline="0" collapsedLevelsAreSubtotals="1" fieldPosition="0">
        <references count="1">
          <reference field="0" count="0" selected="0"/>
        </references>
      </pivotArea>
    </format>
    <format dxfId="28">
      <pivotArea collapsedLevelsAreSubtotals="1" fieldPosition="0">
        <references count="2">
          <reference field="0" count="1" selected="0">
            <x v="1"/>
          </reference>
          <reference field="3"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9B6DDA-5C1D-4A43-A61A-3069A344F145}" name="Tabela1" displayName="Tabela1" ref="A1:J124" totalsRowCount="1" headerRowDxfId="13">
  <autoFilter ref="A1:J123" xr:uid="{2E9B6DDA-5C1D-4A43-A61A-3069A344F145}"/>
  <tableColumns count="10">
    <tableColumn id="1" xr3:uid="{C096C24C-CC28-4F3A-BED9-11C3A8B6A95A}" name="Year" dataDxfId="12"/>
    <tableColumn id="2" xr3:uid="{418C31D7-8642-4E19-BA80-AC58BB62E8D8}" name="Month" dataDxfId="11"/>
    <tableColumn id="10" xr3:uid="{EE56717B-2BB1-426A-8147-33A481DE9180}" name="Month_no" dataDxfId="10">
      <calculatedColumnFormula>VLOOKUP(B2,$B$134:$C$145,2,FALSE)</calculatedColumnFormula>
    </tableColumn>
    <tableColumn id="3" xr3:uid="{18A0822C-7BDC-4ADE-BE1E-FF5602EF4AFC}" name="Department"/>
    <tableColumn id="4" xr3:uid="{CC0CF308-D5C1-4BF5-870A-2D593DD8FD9A}" name="Product"/>
    <tableColumn id="5" xr3:uid="{0A05D1F1-9FAD-437A-B1C1-EF791D65F0AF}" name="Revenue" totalsRowFunction="sum" dataDxfId="9" totalsRowDxfId="8"/>
    <tableColumn id="6" xr3:uid="{6089D5FB-77E7-4605-90C8-5B69CBCF22AD}" name="Cost" totalsRowFunction="sum" dataDxfId="7" totalsRowDxfId="6"/>
    <tableColumn id="7" xr3:uid="{965B6891-E83E-45B6-A472-E7D5F62E95DE}" name="Margin" totalsRowFunction="sum" dataDxfId="5" totalsRowDxfId="4"/>
    <tableColumn id="11" xr3:uid="{FD1E0687-2557-44DA-B896-FC91499E1D71}" name="Margin2" totalsRowFunction="sum" dataDxfId="3" totalsRowDxfId="2">
      <calculatedColumnFormula>Tabela1[[#This Row],[Revenue]]-Tabela1[[#This Row],[Cost]]</calculatedColumnFormula>
    </tableColumn>
    <tableColumn id="8" xr3:uid="{A9E1A524-88AA-4631-BB68-6854BFC8DF34}" name="Shipments" totalsRowFunction="sum" dataDxfId="1" totalsRowDxfId="0"/>
  </tableColumns>
  <tableStyleInfo name="TableStyleLight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68FAA-CD97-4731-AB7F-4FF54BBF5D4B}">
  <dimension ref="B2:P2"/>
  <sheetViews>
    <sheetView tabSelected="1" workbookViewId="0"/>
  </sheetViews>
  <sheetFormatPr defaultRowHeight="14.4" x14ac:dyDescent="0.3"/>
  <cols>
    <col min="1" max="1" width="2.33203125" customWidth="1"/>
    <col min="14" max="14" width="4.5546875" customWidth="1"/>
    <col min="15" max="16" width="8.88671875" hidden="1" customWidth="1"/>
  </cols>
  <sheetData>
    <row r="2" spans="2:16" x14ac:dyDescent="0.3">
      <c r="B2" s="41"/>
      <c r="C2" s="39"/>
      <c r="D2" s="39"/>
      <c r="E2" s="39"/>
      <c r="F2" s="39"/>
      <c r="G2" s="39"/>
      <c r="H2" s="39"/>
      <c r="I2" s="39"/>
      <c r="J2" s="39"/>
      <c r="K2" s="39"/>
      <c r="L2" s="39"/>
      <c r="M2" s="39"/>
      <c r="N2" s="39"/>
      <c r="O2" s="39"/>
      <c r="P2" s="39"/>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E651E-66DE-486F-BB5F-8300E821CC3E}">
  <dimension ref="A2:O133"/>
  <sheetViews>
    <sheetView workbookViewId="0"/>
  </sheetViews>
  <sheetFormatPr defaultRowHeight="14.4" x14ac:dyDescent="0.3"/>
  <cols>
    <col min="15" max="15" width="65.33203125" customWidth="1"/>
  </cols>
  <sheetData>
    <row r="2" spans="1:15" ht="21" x14ac:dyDescent="0.4">
      <c r="A2" s="37" t="s">
        <v>62</v>
      </c>
      <c r="O2" s="37" t="s">
        <v>63</v>
      </c>
    </row>
    <row r="4" spans="1:15" x14ac:dyDescent="0.3">
      <c r="O4" s="38"/>
    </row>
    <row r="5" spans="1:15" ht="14.4" customHeight="1" x14ac:dyDescent="0.3">
      <c r="A5" s="22" t="s">
        <v>59</v>
      </c>
      <c r="O5" s="39" t="s">
        <v>64</v>
      </c>
    </row>
    <row r="6" spans="1:15" x14ac:dyDescent="0.3">
      <c r="O6" s="39"/>
    </row>
    <row r="7" spans="1:15" x14ac:dyDescent="0.3">
      <c r="O7" s="39"/>
    </row>
    <row r="8" spans="1:15" x14ac:dyDescent="0.3">
      <c r="O8" s="39"/>
    </row>
    <row r="9" spans="1:15" x14ac:dyDescent="0.3">
      <c r="O9" s="39"/>
    </row>
    <row r="10" spans="1:15" x14ac:dyDescent="0.3">
      <c r="O10" s="39"/>
    </row>
    <row r="11" spans="1:15" x14ac:dyDescent="0.3">
      <c r="O11" s="39"/>
    </row>
    <row r="12" spans="1:15" x14ac:dyDescent="0.3">
      <c r="O12" s="39"/>
    </row>
    <row r="13" spans="1:15" x14ac:dyDescent="0.3">
      <c r="O13" s="39"/>
    </row>
    <row r="14" spans="1:15" x14ac:dyDescent="0.3">
      <c r="O14" s="39"/>
    </row>
    <row r="15" spans="1:15" x14ac:dyDescent="0.3">
      <c r="O15" s="39"/>
    </row>
    <row r="16" spans="1:15" x14ac:dyDescent="0.3">
      <c r="O16" s="39"/>
    </row>
    <row r="17" spans="1:15" x14ac:dyDescent="0.3">
      <c r="O17" s="39"/>
    </row>
    <row r="18" spans="1:15" x14ac:dyDescent="0.3">
      <c r="O18" s="39"/>
    </row>
    <row r="19" spans="1:15" x14ac:dyDescent="0.3">
      <c r="O19" s="39"/>
    </row>
    <row r="20" spans="1:15" x14ac:dyDescent="0.3">
      <c r="O20" s="39"/>
    </row>
    <row r="21" spans="1:15" x14ac:dyDescent="0.3">
      <c r="O21" s="39"/>
    </row>
    <row r="22" spans="1:15" x14ac:dyDescent="0.3">
      <c r="O22" s="39"/>
    </row>
    <row r="23" spans="1:15" x14ac:dyDescent="0.3">
      <c r="O23" s="39"/>
    </row>
    <row r="24" spans="1:15" x14ac:dyDescent="0.3">
      <c r="O24" s="39"/>
    </row>
    <row r="25" spans="1:15" x14ac:dyDescent="0.3">
      <c r="A25" s="22" t="s">
        <v>65</v>
      </c>
      <c r="O25" s="39"/>
    </row>
    <row r="26" spans="1:15" x14ac:dyDescent="0.3">
      <c r="O26" s="39"/>
    </row>
    <row r="27" spans="1:15" x14ac:dyDescent="0.3">
      <c r="O27" s="39"/>
    </row>
    <row r="28" spans="1:15" x14ac:dyDescent="0.3">
      <c r="O28" s="39"/>
    </row>
    <row r="29" spans="1:15" x14ac:dyDescent="0.3">
      <c r="O29" s="39"/>
    </row>
    <row r="30" spans="1:15" x14ac:dyDescent="0.3">
      <c r="O30" s="39"/>
    </row>
    <row r="31" spans="1:15" x14ac:dyDescent="0.3">
      <c r="O31" s="39"/>
    </row>
    <row r="32" spans="1:15" x14ac:dyDescent="0.3">
      <c r="O32" s="39"/>
    </row>
    <row r="33" spans="1:15" x14ac:dyDescent="0.3">
      <c r="O33" s="39"/>
    </row>
    <row r="44" spans="1:15" x14ac:dyDescent="0.3">
      <c r="A44" s="22" t="s">
        <v>60</v>
      </c>
    </row>
    <row r="67" spans="1:1" x14ac:dyDescent="0.3">
      <c r="A67" s="22" t="s">
        <v>56</v>
      </c>
    </row>
    <row r="75" spans="1:1" ht="14.4" customHeight="1" x14ac:dyDescent="0.3"/>
    <row r="88" spans="1:15" x14ac:dyDescent="0.3">
      <c r="O88" s="40"/>
    </row>
    <row r="89" spans="1:15" x14ac:dyDescent="0.3">
      <c r="O89" s="40"/>
    </row>
    <row r="90" spans="1:15" x14ac:dyDescent="0.3">
      <c r="O90" s="40"/>
    </row>
    <row r="91" spans="1:15" x14ac:dyDescent="0.3">
      <c r="O91" s="40"/>
    </row>
    <row r="92" spans="1:15" x14ac:dyDescent="0.3">
      <c r="A92" s="22" t="s">
        <v>41</v>
      </c>
      <c r="O92" s="40"/>
    </row>
    <row r="93" spans="1:15" x14ac:dyDescent="0.3">
      <c r="O93" s="40"/>
    </row>
    <row r="94" spans="1:15" x14ac:dyDescent="0.3">
      <c r="O94" s="40"/>
    </row>
    <row r="109" spans="1:1" x14ac:dyDescent="0.3">
      <c r="A109" s="22" t="s">
        <v>58</v>
      </c>
    </row>
    <row r="133" spans="1:1" x14ac:dyDescent="0.3">
      <c r="A133" s="22" t="s">
        <v>49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EBDC3-CF20-41BA-928F-DE7B04264A77}">
  <dimension ref="A1:EI168"/>
  <sheetViews>
    <sheetView workbookViewId="0"/>
  </sheetViews>
  <sheetFormatPr defaultRowHeight="14.4" x14ac:dyDescent="0.3"/>
  <cols>
    <col min="1" max="1" width="16.6640625" bestFit="1" customWidth="1"/>
    <col min="2" max="4" width="15" bestFit="1" customWidth="1"/>
    <col min="5" max="5" width="9.88671875" bestFit="1" customWidth="1"/>
    <col min="6" max="6" width="14" bestFit="1" customWidth="1"/>
    <col min="7" max="13" width="7" bestFit="1" customWidth="1"/>
    <col min="14" max="14" width="14" bestFit="1" customWidth="1"/>
    <col min="15" max="26" width="9.6640625" bestFit="1" customWidth="1"/>
    <col min="27" max="27" width="10.6640625" bestFit="1" customWidth="1"/>
    <col min="28" max="28" width="13.5546875" bestFit="1" customWidth="1"/>
    <col min="29" max="32" width="9.6640625" bestFit="1" customWidth="1"/>
    <col min="33" max="33" width="7.109375" bestFit="1" customWidth="1"/>
    <col min="34" max="44" width="9.6640625" bestFit="1" customWidth="1"/>
    <col min="45" max="45" width="7.109375" bestFit="1" customWidth="1"/>
    <col min="46" max="55" width="9.6640625" bestFit="1" customWidth="1"/>
    <col min="56" max="56" width="7.109375" bestFit="1" customWidth="1"/>
    <col min="57" max="66" width="9.6640625" bestFit="1" customWidth="1"/>
    <col min="67" max="67" width="7.109375" bestFit="1" customWidth="1"/>
    <col min="68" max="77" width="9.6640625" bestFit="1" customWidth="1"/>
    <col min="78" max="78" width="7.109375" bestFit="1" customWidth="1"/>
    <col min="79" max="88" width="9.6640625" bestFit="1" customWidth="1"/>
    <col min="89" max="89" width="7.109375" bestFit="1" customWidth="1"/>
    <col min="90" max="99" width="9.6640625" bestFit="1" customWidth="1"/>
    <col min="100" max="100" width="7.109375" bestFit="1" customWidth="1"/>
    <col min="101" max="110" width="9.6640625" bestFit="1" customWidth="1"/>
    <col min="111" max="111" width="8.109375" bestFit="1" customWidth="1"/>
    <col min="112" max="121" width="9.6640625" bestFit="1" customWidth="1"/>
    <col min="122" max="122" width="8.109375" bestFit="1" customWidth="1"/>
    <col min="123" max="132" width="9.6640625" bestFit="1" customWidth="1"/>
    <col min="133" max="133" width="8.109375" bestFit="1" customWidth="1"/>
    <col min="134" max="134" width="13.5546875" bestFit="1" customWidth="1"/>
    <col min="135" max="135" width="9.77734375" bestFit="1" customWidth="1"/>
    <col min="136" max="136" width="7.33203125" bestFit="1" customWidth="1"/>
    <col min="137" max="137" width="10.109375" bestFit="1" customWidth="1"/>
    <col min="138" max="138" width="10.6640625" bestFit="1" customWidth="1"/>
    <col min="139" max="139" width="13.5546875" bestFit="1" customWidth="1"/>
  </cols>
  <sheetData>
    <row r="1" spans="1:16" x14ac:dyDescent="0.3">
      <c r="A1" s="18"/>
      <c r="B1" s="7"/>
      <c r="C1" s="7"/>
      <c r="D1" s="7"/>
      <c r="E1" s="7"/>
      <c r="F1" s="7"/>
      <c r="G1" s="7"/>
      <c r="H1" s="7"/>
      <c r="I1" s="7"/>
      <c r="J1" s="19" t="s">
        <v>38</v>
      </c>
      <c r="K1" s="19"/>
      <c r="L1" s="7"/>
      <c r="M1" s="7"/>
      <c r="N1" s="20" t="s">
        <v>39</v>
      </c>
      <c r="P1" s="21" t="s">
        <v>40</v>
      </c>
    </row>
    <row r="2" spans="1:16" x14ac:dyDescent="0.3">
      <c r="A2" s="22" t="s">
        <v>41</v>
      </c>
      <c r="B2" s="7"/>
      <c r="C2" s="7"/>
      <c r="D2" s="7"/>
      <c r="E2" s="7"/>
      <c r="F2" s="7"/>
      <c r="G2" s="7"/>
      <c r="H2" s="7"/>
      <c r="I2" s="7"/>
      <c r="J2" s="7"/>
      <c r="K2" s="7"/>
      <c r="L2" s="7"/>
      <c r="M2" s="7"/>
      <c r="N2" s="7"/>
    </row>
    <row r="3" spans="1:16" x14ac:dyDescent="0.3">
      <c r="A3" s="36" t="s">
        <v>42</v>
      </c>
      <c r="B3" s="36" t="s">
        <v>43</v>
      </c>
    </row>
    <row r="4" spans="1:16" x14ac:dyDescent="0.3">
      <c r="B4">
        <v>2024</v>
      </c>
      <c r="C4">
        <v>2025</v>
      </c>
      <c r="D4" t="s">
        <v>44</v>
      </c>
      <c r="F4" t="s">
        <v>45</v>
      </c>
      <c r="J4" s="23" t="s">
        <v>46</v>
      </c>
      <c r="K4" s="23" t="s">
        <v>47</v>
      </c>
    </row>
    <row r="5" spans="1:16" x14ac:dyDescent="0.3">
      <c r="A5" s="36" t="s">
        <v>48</v>
      </c>
    </row>
    <row r="6" spans="1:16" x14ac:dyDescent="0.3">
      <c r="A6" s="18" t="s">
        <v>13</v>
      </c>
      <c r="B6" s="5">
        <v>2036363.636363636</v>
      </c>
      <c r="C6" s="5">
        <v>2341818.1818181816</v>
      </c>
      <c r="D6" s="5">
        <v>4378181.8181818174</v>
      </c>
      <c r="F6" s="24">
        <f>GETPIVOTDATA("Margin2",$A$3,"Year",2025,"Department","Air")/GETPIVOTDATA("Margin2",$A$3,"Year",2024,"Department","Air")</f>
        <v>1.1500000000000001</v>
      </c>
      <c r="J6" s="25">
        <f>GETPIVOTDATA("Margin2",$A$3,"Year",2025,"Department","Air")/GETPIVOTDATA("Margin2",$A$3,"Year",2025)</f>
        <v>6.4054926538942977E-3</v>
      </c>
      <c r="K6" s="25">
        <f>GETPIVOTDATA("Margin2",$A$3,"Year",2024,"Department","Air")/GETPIVOTDATA("Margin2",$A$3,"Year",2024)</f>
        <v>6.0408814636911095E-3</v>
      </c>
    </row>
    <row r="7" spans="1:16" x14ac:dyDescent="0.3">
      <c r="A7" s="18" t="s">
        <v>18</v>
      </c>
      <c r="B7" s="5">
        <v>301615965</v>
      </c>
      <c r="C7" s="5">
        <v>328925061.5</v>
      </c>
      <c r="D7" s="5">
        <v>630541026.5</v>
      </c>
      <c r="F7" s="24">
        <f>GETPIVOTDATA("Margin2",$A$3,"Year",2025,"Department","Ocean")/GETPIVOTDATA("Margin2",$A$3,"Year",2024,"Department","Ocean")</f>
        <v>1.0905426093741424</v>
      </c>
      <c r="J7" s="25">
        <f>GETPIVOTDATA("Margin2",$A$3,"Year",2025,"Department","Ocean")/GETPIVOTDATA("Margin2",$A$3,"Year",2025)</f>
        <v>0.89969711631676175</v>
      </c>
      <c r="K7" s="25">
        <f>GETPIVOTDATA("Margin2",$A$3,"Year",2024,"Department","Ocean")/GETPIVOTDATA("Margin2",$A$3,"Year",2024)</f>
        <v>0.89474505416695871</v>
      </c>
    </row>
    <row r="8" spans="1:16" x14ac:dyDescent="0.3">
      <c r="A8" s="18" t="s">
        <v>16</v>
      </c>
      <c r="B8" s="5">
        <v>26705000</v>
      </c>
      <c r="C8" s="5">
        <v>26950000</v>
      </c>
      <c r="D8" s="5">
        <v>53655000</v>
      </c>
      <c r="F8" s="25">
        <f>GETPIVOTDATA("Margin2",$A$3,"Year",2025,"Department","RAIL")/GETPIVOTDATA("Margin2",$A$3,"Year",2024,"Department","RAIL")</f>
        <v>1.0091743119266054</v>
      </c>
      <c r="J8" s="25">
        <f>GETPIVOTDATA("Margin2",$A$3,"Year",2025,"Department","RAIL")/GETPIVOTDATA("Margin2",$A$3,"Year",2025)</f>
        <v>7.3715384209897705E-2</v>
      </c>
      <c r="K8" s="25">
        <f>GETPIVOTDATA("Margin2",$A$3,"Year",2024,"Department","RAIL")/GETPIVOTDATA("Margin2",$A$3,"Year",2024)</f>
        <v>7.922049706993671E-2</v>
      </c>
    </row>
    <row r="9" spans="1:16" x14ac:dyDescent="0.3">
      <c r="A9" s="18" t="s">
        <v>11</v>
      </c>
      <c r="B9" s="5">
        <v>6739773.5999999978</v>
      </c>
      <c r="C9" s="5">
        <v>7378447.3839999959</v>
      </c>
      <c r="D9" s="5">
        <v>14118220.983999994</v>
      </c>
      <c r="F9" s="24">
        <f>GETPIVOTDATA("Margin2",$A$3,"Year",2025,"Department","ROAD")/GETPIVOTDATA("Margin2",$A$3,"Year",2024,"Department","ROAD")</f>
        <v>1.0947619047619046</v>
      </c>
      <c r="J9" s="25">
        <f>GETPIVOTDATA("Margin2",$A$3,"Year",2025,"Department","ROAD")/GETPIVOTDATA("Margin2",$A$3,"Year",2025)</f>
        <v>2.018200681944617E-2</v>
      </c>
      <c r="K9" s="25">
        <f>GETPIVOTDATA("Margin2",$A$3,"Year",2024,"Department","ROAD")/GETPIVOTDATA("Margin2",$A$3,"Year",2024)</f>
        <v>1.9993567299413463E-2</v>
      </c>
    </row>
    <row r="10" spans="1:16" x14ac:dyDescent="0.3">
      <c r="A10" s="18" t="s">
        <v>44</v>
      </c>
      <c r="B10" s="5">
        <v>337097102.23636365</v>
      </c>
      <c r="C10" s="5">
        <v>365595327.06581819</v>
      </c>
      <c r="D10" s="5">
        <v>702692429.30218184</v>
      </c>
      <c r="F10" s="26">
        <f>GETPIVOTDATA("Margin2",$A$3,"Year",2025)/GETPIVOTDATA("Margin2",$A$3,"Year",2024)</f>
        <v>1.0845401062198166</v>
      </c>
    </row>
    <row r="13" spans="1:16" x14ac:dyDescent="0.3">
      <c r="A13" s="22" t="s">
        <v>49</v>
      </c>
    </row>
    <row r="14" spans="1:16" x14ac:dyDescent="0.3">
      <c r="A14" s="36" t="s">
        <v>42</v>
      </c>
      <c r="B14" s="36" t="s">
        <v>43</v>
      </c>
    </row>
    <row r="15" spans="1:16" x14ac:dyDescent="0.3">
      <c r="B15">
        <v>2024</v>
      </c>
      <c r="C15">
        <v>2025</v>
      </c>
      <c r="D15" t="s">
        <v>44</v>
      </c>
    </row>
    <row r="16" spans="1:16" x14ac:dyDescent="0.3">
      <c r="A16" s="36" t="s">
        <v>48</v>
      </c>
    </row>
    <row r="17" spans="1:10" x14ac:dyDescent="0.3">
      <c r="A17" s="18" t="s">
        <v>14</v>
      </c>
      <c r="B17" s="5">
        <v>2036363.636363636</v>
      </c>
      <c r="C17" s="5">
        <v>2341818.1818181816</v>
      </c>
      <c r="D17" s="5">
        <v>4378181.8181818174</v>
      </c>
      <c r="F17" s="24">
        <f>GETPIVOTDATA("Margin2",$A$14,"Year",2025,"Product","Airfreight")/GETPIVOTDATA("Margin2",$A$14,"Year",2024,"Product","Airfreight")</f>
        <v>1.1500000000000001</v>
      </c>
    </row>
    <row r="18" spans="1:10" x14ac:dyDescent="0.3">
      <c r="A18" s="18" t="s">
        <v>20</v>
      </c>
      <c r="B18" s="5">
        <v>259090965</v>
      </c>
      <c r="C18" s="5">
        <v>285000061.5</v>
      </c>
      <c r="D18" s="5">
        <v>544091026.5</v>
      </c>
      <c r="F18" s="24">
        <f>GETPIVOTDATA("Margin2",$A$14,"Year",2025,"Product","FCL")/GETPIVOTDATA("Margin2",$A$14,"Year",2024,"Product","FCL")</f>
        <v>1.1000000000000001</v>
      </c>
    </row>
    <row r="19" spans="1:10" x14ac:dyDescent="0.3">
      <c r="A19" s="18" t="s">
        <v>12</v>
      </c>
      <c r="B19" s="5">
        <v>6739773.5999999978</v>
      </c>
      <c r="C19" s="5">
        <v>7378447.3839999959</v>
      </c>
      <c r="D19" s="5">
        <v>14118220.983999994</v>
      </c>
      <c r="F19" s="24">
        <f>GETPIVOTDATA("Margin2",$A$14,"Year",2025,"Product","International")/GETPIVOTDATA("Margin2",$A$14,"Year",2024,"Product","International")</f>
        <v>1.0947619047619046</v>
      </c>
    </row>
    <row r="20" spans="1:10" x14ac:dyDescent="0.3">
      <c r="A20" s="18" t="s">
        <v>19</v>
      </c>
      <c r="B20" s="5">
        <v>42525000</v>
      </c>
      <c r="C20" s="5">
        <v>43925000</v>
      </c>
      <c r="D20" s="5">
        <v>86450000</v>
      </c>
      <c r="F20" s="25">
        <f>GETPIVOTDATA("Margin2",$A$14,"Year",2025,"Product","LCL")/GETPIVOTDATA("Margin2",$A$14,"Year",2024,"Product","LCL")</f>
        <v>1.0329218106995885</v>
      </c>
    </row>
    <row r="21" spans="1:10" x14ac:dyDescent="0.3">
      <c r="A21" s="18" t="s">
        <v>16</v>
      </c>
      <c r="B21" s="5">
        <v>26705000</v>
      </c>
      <c r="C21" s="5">
        <v>26950000</v>
      </c>
      <c r="D21" s="5">
        <v>53655000</v>
      </c>
      <c r="F21" s="25">
        <f>GETPIVOTDATA("Margin2",$A$14,"Year",2025,"Product","RAIL")/GETPIVOTDATA("Margin2",$A$14,"Year",2024,"Product","RAIL")</f>
        <v>1.0091743119266054</v>
      </c>
    </row>
    <row r="22" spans="1:10" x14ac:dyDescent="0.3">
      <c r="A22" s="18" t="s">
        <v>44</v>
      </c>
      <c r="B22" s="5">
        <v>337097102.23636365</v>
      </c>
      <c r="C22" s="5">
        <v>365595327.06581819</v>
      </c>
      <c r="D22" s="5">
        <v>702692429.30218184</v>
      </c>
      <c r="F22" s="26">
        <f>GETPIVOTDATA("Margin2",$A$14,"Year",2025)/GETPIVOTDATA("Margin2",$A$14,"Year",2024)</f>
        <v>1.0845401062198166</v>
      </c>
    </row>
    <row r="23" spans="1:10" x14ac:dyDescent="0.3">
      <c r="A23" s="18"/>
      <c r="B23" s="5"/>
      <c r="C23" s="5"/>
      <c r="D23" s="5"/>
    </row>
    <row r="24" spans="1:10" x14ac:dyDescent="0.3">
      <c r="A24" s="18"/>
      <c r="B24" s="5"/>
      <c r="C24" s="5"/>
      <c r="D24" s="5"/>
    </row>
    <row r="27" spans="1:10" x14ac:dyDescent="0.3">
      <c r="A27" s="22" t="s">
        <v>50</v>
      </c>
    </row>
    <row r="28" spans="1:10" x14ac:dyDescent="0.3">
      <c r="A28" s="36" t="s">
        <v>51</v>
      </c>
      <c r="B28" s="36" t="s">
        <v>43</v>
      </c>
    </row>
    <row r="29" spans="1:10" x14ac:dyDescent="0.3">
      <c r="B29">
        <v>2024</v>
      </c>
      <c r="C29">
        <v>2025</v>
      </c>
      <c r="D29" t="s">
        <v>44</v>
      </c>
      <c r="J29" s="23" t="s">
        <v>46</v>
      </c>
    </row>
    <row r="30" spans="1:10" x14ac:dyDescent="0.3">
      <c r="A30" s="36" t="s">
        <v>48</v>
      </c>
    </row>
    <row r="31" spans="1:10" x14ac:dyDescent="0.3">
      <c r="A31" s="18" t="s">
        <v>13</v>
      </c>
      <c r="B31" s="8">
        <v>17150000</v>
      </c>
      <c r="C31" s="8">
        <v>19722499.999999996</v>
      </c>
      <c r="D31" s="8">
        <v>36872500</v>
      </c>
      <c r="F31" s="24">
        <f>GETPIVOTDATA("Revenue",$A$28,"Year",2025,"Department","Air")/GETPIVOTDATA("Revenue",$A$28,"Year",2024,"Department","Air")</f>
        <v>1.1499999999999997</v>
      </c>
      <c r="J31" s="25">
        <f>GETPIVOTDATA("Revenue",$A$28,"Year",2025,"Department","Air")/GETPIVOTDATA("Revenue",$A$28,"Year",2025)</f>
        <v>1.2879429825433723E-2</v>
      </c>
    </row>
    <row r="32" spans="1:10" x14ac:dyDescent="0.3">
      <c r="A32" s="18" t="s">
        <v>18</v>
      </c>
      <c r="B32" s="8">
        <v>1240545565</v>
      </c>
      <c r="C32" s="8">
        <v>1341640121.5</v>
      </c>
      <c r="D32" s="8">
        <v>2582185686.5</v>
      </c>
      <c r="F32" s="24">
        <f>GETPIVOTDATA("Revenue",$A$28,"Year",2025,"Department","Ocean")/GETPIVOTDATA("Revenue",$A$28,"Year",2024,"Department","Ocean")</f>
        <v>1.081492013959197</v>
      </c>
      <c r="J32" s="27">
        <f>GETPIVOTDATA("Revenue",$A$28,"Year",2025,"Department","Ocean")/GETPIVOTDATA("Revenue",$A$28,"Year",2025)</f>
        <v>0.87613435395338457</v>
      </c>
    </row>
    <row r="33" spans="1:10" x14ac:dyDescent="0.3">
      <c r="A33" s="18" t="s">
        <v>16</v>
      </c>
      <c r="B33" s="8">
        <v>136780000</v>
      </c>
      <c r="C33" s="28">
        <v>132405000</v>
      </c>
      <c r="D33" s="8">
        <v>269185000</v>
      </c>
      <c r="F33" s="29">
        <f>GETPIVOTDATA("Revenue",$A$28,"Year",2025,"Department","RAIL")/GETPIVOTDATA("Revenue",$A$28,"Year",2024,"Department","RAIL")</f>
        <v>0.96801432958034805</v>
      </c>
      <c r="J33" s="25">
        <f>GETPIVOTDATA("Revenue",$A$28,"Year",2025,"Department","RAIL")/GETPIVOTDATA("Revenue",$A$28,"Year",2025)</f>
        <v>8.6464743619548867E-2</v>
      </c>
    </row>
    <row r="34" spans="1:10" x14ac:dyDescent="0.3">
      <c r="A34" s="18" t="s">
        <v>11</v>
      </c>
      <c r="B34" s="8">
        <v>32094160</v>
      </c>
      <c r="C34" s="8">
        <v>37550167.199999988</v>
      </c>
      <c r="D34" s="8">
        <v>69644327.199999988</v>
      </c>
      <c r="F34" s="24">
        <f>GETPIVOTDATA("Revenue",$A$28,"Year",2025,"Department","ROAD")/GETPIVOTDATA("Revenue",$A$28,"Year",2024,"Department","ROAD")</f>
        <v>1.1699999999999997</v>
      </c>
      <c r="J34" s="25">
        <f>GETPIVOTDATA("Revenue",$A$28,"Year",2025,"Department","ROAD")/GETPIVOTDATA("Revenue",$A$28,"Year",2025)</f>
        <v>2.4521472601632809E-2</v>
      </c>
    </row>
    <row r="35" spans="1:10" x14ac:dyDescent="0.3">
      <c r="A35" s="18" t="s">
        <v>44</v>
      </c>
      <c r="B35" s="8">
        <v>1426569725</v>
      </c>
      <c r="C35" s="8">
        <v>1531317788.7</v>
      </c>
      <c r="D35" s="8">
        <v>2957887513.6999998</v>
      </c>
      <c r="F35" s="26">
        <f>GETPIVOTDATA("Revenue",$A$28,"Year",2025)/GETPIVOTDATA("Revenue",$A$28,"Year",2024)</f>
        <v>1.0734265292921452</v>
      </c>
    </row>
    <row r="38" spans="1:10" x14ac:dyDescent="0.3">
      <c r="A38" s="30" t="s">
        <v>52</v>
      </c>
    </row>
    <row r="39" spans="1:10" x14ac:dyDescent="0.3">
      <c r="A39" s="36" t="s">
        <v>53</v>
      </c>
      <c r="B39" s="36" t="s">
        <v>43</v>
      </c>
    </row>
    <row r="40" spans="1:10" x14ac:dyDescent="0.3">
      <c r="B40">
        <v>2024</v>
      </c>
      <c r="C40">
        <v>2025</v>
      </c>
      <c r="D40" t="s">
        <v>44</v>
      </c>
    </row>
    <row r="41" spans="1:10" x14ac:dyDescent="0.3">
      <c r="A41" s="36" t="s">
        <v>48</v>
      </c>
    </row>
    <row r="42" spans="1:10" x14ac:dyDescent="0.3">
      <c r="A42" s="18" t="s">
        <v>13</v>
      </c>
      <c r="B42" s="5">
        <v>15113636.363636365</v>
      </c>
      <c r="C42" s="5">
        <v>17380681.818181816</v>
      </c>
      <c r="D42" s="5">
        <v>32494318.18181818</v>
      </c>
      <c r="F42" s="24">
        <f>GETPIVOTDATA("Cost",$A$39,"Year",2025,"Department","Air")/GETPIVOTDATA("Cost",$A$39,"Year",2024,"Department","Air")</f>
        <v>1.1499999999999997</v>
      </c>
      <c r="J42" s="25">
        <f>GETPIVOTDATA("Cost",$A$39,"Year",2025,"Department","Air")/GETPIVOTDATA("Cost",$A$39,"Year",2025)</f>
        <v>1.4909794046360314E-2</v>
      </c>
    </row>
    <row r="43" spans="1:10" x14ac:dyDescent="0.3">
      <c r="A43" s="18" t="s">
        <v>18</v>
      </c>
      <c r="B43" s="5">
        <v>938929600</v>
      </c>
      <c r="C43" s="5">
        <v>1012715060</v>
      </c>
      <c r="D43" s="5">
        <v>1951644660</v>
      </c>
      <c r="F43" s="24">
        <f>GETPIVOTDATA("Cost",$A$39,"Year",2025,"Department","Ocean")/GETPIVOTDATA("Cost",$A$39,"Year",2024,"Department","Ocean")</f>
        <v>1.0785846564002242</v>
      </c>
      <c r="J43" s="31">
        <f>GETPIVOTDATA("Cost",$A$39,"Year",2025,"Department","Ocean")/GETPIVOTDATA("Cost",$A$39,"Year",2025)</f>
        <v>0.86874457113944026</v>
      </c>
    </row>
    <row r="44" spans="1:10" x14ac:dyDescent="0.3">
      <c r="A44" s="18" t="s">
        <v>16</v>
      </c>
      <c r="B44" s="5">
        <v>110075000</v>
      </c>
      <c r="C44" s="32">
        <v>105455000</v>
      </c>
      <c r="D44" s="5">
        <v>215530000</v>
      </c>
      <c r="F44" s="29">
        <f>GETPIVOTDATA("Cost",$A$39,"Year",2025,"Department","RAIL")/GETPIVOTDATA("Cost",$A$39,"Year",2024,"Department","RAIL")</f>
        <v>0.95802861685214624</v>
      </c>
      <c r="J44" s="25">
        <f>GETPIVOTDATA("Cost",$A$39,"Year",2025,"Department","RAIL")/GETPIVOTDATA("Cost",$A$39,"Year",2025)</f>
        <v>9.0463213561285116E-2</v>
      </c>
    </row>
    <row r="45" spans="1:10" x14ac:dyDescent="0.3">
      <c r="A45" s="18" t="s">
        <v>11</v>
      </c>
      <c r="B45" s="5">
        <v>25354386.400000002</v>
      </c>
      <c r="C45" s="5">
        <v>30171719.815999996</v>
      </c>
      <c r="D45" s="5">
        <v>55526106.215999998</v>
      </c>
      <c r="F45" s="24">
        <f>GETPIVOTDATA("Cost",$A$39,"Year",2025,"Department","ROAD")/GETPIVOTDATA("Cost",$A$39,"Year",2024,"Department","ROAD")</f>
        <v>1.1899999999999997</v>
      </c>
      <c r="J45" s="25">
        <f>GETPIVOTDATA("Cost",$A$39,"Year",2025,"Department","ROAD")/GETPIVOTDATA("Cost",$A$39,"Year",2025)</f>
        <v>2.5882421252914189E-2</v>
      </c>
    </row>
    <row r="46" spans="1:10" x14ac:dyDescent="0.3">
      <c r="A46" s="18" t="s">
        <v>44</v>
      </c>
      <c r="B46" s="5">
        <v>1089472622.7636364</v>
      </c>
      <c r="C46" s="5">
        <v>1165722461.634182</v>
      </c>
      <c r="D46" s="5">
        <v>2255195084.3978181</v>
      </c>
      <c r="F46" s="26">
        <f>GETPIVOTDATA("Cost",$A$39,"Year",2025)/GETPIVOTDATA("Cost",$A$39,"Year",2024)</f>
        <v>1.0699878429961138</v>
      </c>
    </row>
    <row r="47" spans="1:10" x14ac:dyDescent="0.3">
      <c r="A47" s="18"/>
      <c r="B47" s="8"/>
      <c r="C47" s="8"/>
      <c r="D47" s="8"/>
    </row>
    <row r="48" spans="1:10" x14ac:dyDescent="0.3">
      <c r="A48" s="18"/>
      <c r="B48" s="8"/>
      <c r="C48" s="8"/>
      <c r="D48" s="8"/>
    </row>
    <row r="49" spans="1:139" x14ac:dyDescent="0.3">
      <c r="A49" s="18"/>
      <c r="B49" s="8"/>
      <c r="C49" s="8"/>
      <c r="D49" s="8"/>
    </row>
    <row r="50" spans="1:139" x14ac:dyDescent="0.3">
      <c r="A50" s="22" t="s">
        <v>54</v>
      </c>
    </row>
    <row r="51" spans="1:139" x14ac:dyDescent="0.3">
      <c r="A51" s="36" t="s">
        <v>51</v>
      </c>
      <c r="B51" s="36" t="s">
        <v>43</v>
      </c>
    </row>
    <row r="52" spans="1:139" x14ac:dyDescent="0.3">
      <c r="B52">
        <v>2024</v>
      </c>
      <c r="C52">
        <v>2025</v>
      </c>
      <c r="D52" t="s">
        <v>44</v>
      </c>
    </row>
    <row r="53" spans="1:139" x14ac:dyDescent="0.3">
      <c r="A53" s="36" t="s">
        <v>48</v>
      </c>
    </row>
    <row r="54" spans="1:139" x14ac:dyDescent="0.3">
      <c r="A54" s="18" t="s">
        <v>14</v>
      </c>
      <c r="B54" s="8">
        <v>17150000</v>
      </c>
      <c r="C54" s="8">
        <v>19722499.999999996</v>
      </c>
      <c r="D54" s="8">
        <v>36872500</v>
      </c>
      <c r="F54" s="24">
        <f>GETPIVOTDATA("Revenue",$A$51,"Year",2025,"Product","Airfreight")/GETPIVOTDATA("Revenue",$A$51,"Year",2024,"Product","Airfreight")</f>
        <v>1.1499999999999997</v>
      </c>
      <c r="J54" s="25">
        <f>GETPIVOTDATA("Revenue",$A$51,"Year",2025,"Product","Airfreight")/GETPIVOTDATA("Revenue",$A$51,"Year",2025)</f>
        <v>1.2879429825433723E-2</v>
      </c>
    </row>
    <row r="55" spans="1:139" x14ac:dyDescent="0.3">
      <c r="A55" s="18" t="s">
        <v>20</v>
      </c>
      <c r="B55" s="8">
        <v>1019695565</v>
      </c>
      <c r="C55" s="8">
        <v>1121665121.5</v>
      </c>
      <c r="D55" s="8">
        <v>2141360686.5</v>
      </c>
      <c r="F55" s="24">
        <f>GETPIVOTDATA("Revenue",$A$51,"Year",2025,"Product","FCL")/GETPIVOTDATA("Revenue",$A$51,"Year",2024,"Product","FCL")</f>
        <v>1.1000000000000001</v>
      </c>
      <c r="J55" s="27">
        <f>GETPIVOTDATA("Revenue",$A$51,"Year",2025,"Product","FCL")/GETPIVOTDATA("Revenue",$A$51,"Year",2025)</f>
        <v>0.73248357054104918</v>
      </c>
    </row>
    <row r="56" spans="1:139" x14ac:dyDescent="0.3">
      <c r="A56" s="18" t="s">
        <v>12</v>
      </c>
      <c r="B56" s="8">
        <v>32094160</v>
      </c>
      <c r="C56" s="8">
        <v>37550167.199999988</v>
      </c>
      <c r="D56" s="8">
        <v>69644327.199999988</v>
      </c>
      <c r="F56" s="24">
        <f>GETPIVOTDATA("Revenue",$A$51,"Year",2025,"Product","International")/GETPIVOTDATA("Revenue",$A$51,"Year",2024,"Product","International")</f>
        <v>1.1699999999999997</v>
      </c>
      <c r="J56" s="25">
        <f>GETPIVOTDATA("Revenue",$A$51,"Year",2025,"Product","International")/GETPIVOTDATA("Revenue",$A$51,"Year",2025)</f>
        <v>2.4521472601632809E-2</v>
      </c>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row>
    <row r="57" spans="1:139" x14ac:dyDescent="0.3">
      <c r="A57" s="18" t="s">
        <v>19</v>
      </c>
      <c r="B57" s="8">
        <v>220850000</v>
      </c>
      <c r="C57" s="8">
        <v>219975000</v>
      </c>
      <c r="D57" s="8">
        <v>440825000</v>
      </c>
      <c r="F57" s="24">
        <f>GETPIVOTDATA("Revenue",$A$51,"Year",2025,"Product","LCL")/GETPIVOTDATA("Revenue",$A$51,"Year",2024,"Product","LCL")</f>
        <v>0.99603803486529319</v>
      </c>
      <c r="J57" s="27">
        <f>GETPIVOTDATA("Revenue",$A$51,"Year",2025,"Product","LCL")/GETPIVOTDATA("Revenue",$A$51,"Year",2025)</f>
        <v>0.14365078341233534</v>
      </c>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row>
    <row r="58" spans="1:139" x14ac:dyDescent="0.3">
      <c r="A58" s="18" t="s">
        <v>16</v>
      </c>
      <c r="B58" s="8">
        <v>136780000</v>
      </c>
      <c r="C58" s="28">
        <v>132405000</v>
      </c>
      <c r="D58" s="8">
        <v>269185000</v>
      </c>
      <c r="F58" s="29">
        <f>GETPIVOTDATA("Revenue",$A$51,"Year",2025,"Product","RAIL")/GETPIVOTDATA("Revenue",$A$51,"Year",2024,"Product","RAIL")</f>
        <v>0.96801432958034805</v>
      </c>
      <c r="J58" s="25">
        <f>GETPIVOTDATA("Revenue",$A$51,"Year",2025,"Product","RAIL")/GETPIVOTDATA("Revenue",$A$51,"Year",2025)</f>
        <v>8.6464743619548867E-2</v>
      </c>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row>
    <row r="59" spans="1:139" x14ac:dyDescent="0.3">
      <c r="A59" s="18" t="s">
        <v>44</v>
      </c>
      <c r="B59" s="8">
        <v>1426569725</v>
      </c>
      <c r="C59" s="8">
        <v>1531317788.7</v>
      </c>
      <c r="D59" s="8">
        <v>2957887513.6999998</v>
      </c>
      <c r="F59" s="26">
        <f>GETPIVOTDATA("Revenue",$A$51,"Year",2025)/GETPIVOTDATA("Revenue",$A$51,"Year",2024)</f>
        <v>1.0734265292921452</v>
      </c>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row>
    <row r="61" spans="1:139" x14ac:dyDescent="0.3">
      <c r="A61" s="30" t="s">
        <v>55</v>
      </c>
    </row>
    <row r="62" spans="1:139" x14ac:dyDescent="0.3">
      <c r="A62" s="36" t="s">
        <v>53</v>
      </c>
      <c r="B62" s="36" t="s">
        <v>43</v>
      </c>
    </row>
    <row r="63" spans="1:139" x14ac:dyDescent="0.3">
      <c r="B63">
        <v>2024</v>
      </c>
      <c r="C63">
        <v>2025</v>
      </c>
      <c r="D63" t="s">
        <v>44</v>
      </c>
    </row>
    <row r="64" spans="1:139" x14ac:dyDescent="0.3">
      <c r="A64" s="36" t="s">
        <v>48</v>
      </c>
    </row>
    <row r="65" spans="1:16" x14ac:dyDescent="0.3">
      <c r="A65" s="18" t="s">
        <v>14</v>
      </c>
      <c r="B65" s="5">
        <v>15113636.363636365</v>
      </c>
      <c r="C65" s="5">
        <v>17380681.818181816</v>
      </c>
      <c r="D65" s="5">
        <v>32494318.18181818</v>
      </c>
      <c r="F65" s="24">
        <f>GETPIVOTDATA("Cost",$A$62,"Year",2025,"Product","Airfreight")/GETPIVOTDATA("Cost",$A$62,"Year",2024,"Product","Airfreight")</f>
        <v>1.1499999999999997</v>
      </c>
      <c r="J65" s="25">
        <f>GETPIVOTDATA("Cost",$A$62,"Year",2025,"Product","Airfreight")/GETPIVOTDATA("Cost",$A$62,"Year",2025)</f>
        <v>1.4909794046360314E-2</v>
      </c>
    </row>
    <row r="66" spans="1:16" x14ac:dyDescent="0.3">
      <c r="A66" s="18" t="s">
        <v>20</v>
      </c>
      <c r="B66" s="5">
        <v>760604600</v>
      </c>
      <c r="C66" s="5">
        <v>836665060</v>
      </c>
      <c r="D66" s="5">
        <v>1597269660</v>
      </c>
      <c r="F66" s="24">
        <f>GETPIVOTDATA("Cost",$A$62,"Year",2025,"Product","FCL")/GETPIVOTDATA("Cost",$A$62,"Year",2024,"Product","FCL")</f>
        <v>1.1000000000000001</v>
      </c>
      <c r="J66" s="25">
        <f>GETPIVOTDATA("Cost",$A$62,"Year",2025,"Product","FCL")/GETPIVOTDATA("Cost",$A$62,"Year",2025)</f>
        <v>0.71772234604376683</v>
      </c>
    </row>
    <row r="67" spans="1:16" x14ac:dyDescent="0.3">
      <c r="A67" s="18" t="s">
        <v>12</v>
      </c>
      <c r="B67" s="5">
        <v>25354386.400000002</v>
      </c>
      <c r="C67" s="5">
        <v>30171719.815999996</v>
      </c>
      <c r="D67" s="5">
        <v>55526106.215999998</v>
      </c>
      <c r="F67" s="24">
        <f>GETPIVOTDATA("Cost",$A$62,"Year",2025,"Product","International")/GETPIVOTDATA("Cost",$A$62,"Year",2024,"Product","International")</f>
        <v>1.1899999999999997</v>
      </c>
      <c r="J67" s="25">
        <f>GETPIVOTDATA("Cost",$A$62,"Year",2025,"Product","International")/GETPIVOTDATA("Cost",$A$62,"Year",2025)</f>
        <v>2.5882421252914189E-2</v>
      </c>
    </row>
    <row r="68" spans="1:16" x14ac:dyDescent="0.3">
      <c r="A68" s="18" t="s">
        <v>19</v>
      </c>
      <c r="B68" s="5">
        <v>178325000</v>
      </c>
      <c r="C68" s="32">
        <v>176050000</v>
      </c>
      <c r="D68" s="5">
        <v>354375000</v>
      </c>
      <c r="F68" s="29">
        <f>GETPIVOTDATA("Cost",$A$62,"Year",2025,"Product","LCL")/GETPIVOTDATA("Cost",$A$62,"Year",2024,"Product","LCL")</f>
        <v>0.98724239450441609</v>
      </c>
      <c r="J68" s="25">
        <f>GETPIVOTDATA("Cost",$A$62,"Year",2025,"Product","LCL")/GETPIVOTDATA("Cost",$A$62,"Year",2025)</f>
        <v>0.15102222509567345</v>
      </c>
    </row>
    <row r="69" spans="1:16" x14ac:dyDescent="0.3">
      <c r="A69" s="18" t="s">
        <v>16</v>
      </c>
      <c r="B69" s="5">
        <v>110075000</v>
      </c>
      <c r="C69" s="32">
        <v>105455000</v>
      </c>
      <c r="D69" s="5">
        <v>215530000</v>
      </c>
      <c r="F69" s="29">
        <f>GETPIVOTDATA("Cost",$A$62,"Year",2025,"Product","RAIL")/GETPIVOTDATA("Cost",$A$62,"Year",2024,"Product","RAIL")</f>
        <v>0.95802861685214624</v>
      </c>
      <c r="J69" s="25">
        <f>GETPIVOTDATA("Cost",$A$62,"Year",2025,"Product","RAIL")/GETPIVOTDATA("Cost",$A$62,"Year",2025)</f>
        <v>9.0463213561285116E-2</v>
      </c>
    </row>
    <row r="70" spans="1:16" x14ac:dyDescent="0.3">
      <c r="A70" s="18" t="s">
        <v>44</v>
      </c>
      <c r="B70" s="5">
        <v>1089472622.7636364</v>
      </c>
      <c r="C70" s="5">
        <v>1165722461.634182</v>
      </c>
      <c r="D70" s="5">
        <v>2255195084.3978186</v>
      </c>
      <c r="F70" s="26">
        <f>GETPIVOTDATA("Cost",$A$62,"Year",2025)/GETPIVOTDATA("Cost",$A$62,"Year",2024)</f>
        <v>1.0699878429961138</v>
      </c>
    </row>
    <row r="74" spans="1:16" x14ac:dyDescent="0.3">
      <c r="A74" s="22" t="s">
        <v>56</v>
      </c>
    </row>
    <row r="75" spans="1:16" x14ac:dyDescent="0.3">
      <c r="A75" s="36" t="s">
        <v>57</v>
      </c>
      <c r="B75" s="36" t="s">
        <v>43</v>
      </c>
    </row>
    <row r="76" spans="1:16" x14ac:dyDescent="0.3">
      <c r="A76" s="36" t="s">
        <v>48</v>
      </c>
      <c r="B76">
        <v>1</v>
      </c>
      <c r="C76">
        <v>2</v>
      </c>
      <c r="D76">
        <v>3</v>
      </c>
      <c r="E76">
        <v>4</v>
      </c>
      <c r="F76">
        <v>5</v>
      </c>
      <c r="G76">
        <v>6</v>
      </c>
      <c r="H76">
        <v>7</v>
      </c>
      <c r="I76">
        <v>8</v>
      </c>
      <c r="J76">
        <v>9</v>
      </c>
      <c r="K76">
        <v>10</v>
      </c>
      <c r="L76">
        <v>11</v>
      </c>
      <c r="M76">
        <v>12</v>
      </c>
      <c r="N76" t="s">
        <v>44</v>
      </c>
      <c r="O76" s="23" t="s">
        <v>46</v>
      </c>
      <c r="P76" t="s">
        <v>45</v>
      </c>
    </row>
    <row r="77" spans="1:16" x14ac:dyDescent="0.3">
      <c r="A77" s="18">
        <v>2024</v>
      </c>
      <c r="B77" s="7">
        <v>94395</v>
      </c>
      <c r="C77" s="7">
        <v>97790</v>
      </c>
      <c r="D77" s="7">
        <v>92820</v>
      </c>
      <c r="E77" s="7">
        <v>110425</v>
      </c>
      <c r="F77" s="7">
        <v>82355</v>
      </c>
      <c r="G77" s="7">
        <v>97265</v>
      </c>
      <c r="H77" s="7">
        <v>103845</v>
      </c>
      <c r="I77" s="7">
        <v>101045</v>
      </c>
      <c r="J77" s="7">
        <v>103460</v>
      </c>
      <c r="K77" s="7">
        <v>106610</v>
      </c>
      <c r="L77" s="7">
        <v>103390</v>
      </c>
      <c r="M77" s="7">
        <v>115395</v>
      </c>
      <c r="N77" s="7">
        <v>1208795</v>
      </c>
      <c r="O77" s="18"/>
    </row>
    <row r="78" spans="1:16" x14ac:dyDescent="0.3">
      <c r="A78" s="33" t="s">
        <v>13</v>
      </c>
      <c r="B78" s="7">
        <v>2100</v>
      </c>
      <c r="C78" s="7">
        <v>1925</v>
      </c>
      <c r="D78" s="7">
        <v>1645</v>
      </c>
      <c r="E78" s="7">
        <v>2065</v>
      </c>
      <c r="F78" s="7">
        <v>1785</v>
      </c>
      <c r="G78" s="7">
        <v>2205</v>
      </c>
      <c r="H78" s="7">
        <v>2310</v>
      </c>
      <c r="I78" s="7">
        <v>2135</v>
      </c>
      <c r="J78" s="7">
        <v>1995</v>
      </c>
      <c r="K78" s="7">
        <v>2065</v>
      </c>
      <c r="L78" s="7">
        <v>2380</v>
      </c>
      <c r="M78" s="7">
        <v>2100</v>
      </c>
      <c r="N78" s="7">
        <v>24710</v>
      </c>
      <c r="O78" s="18"/>
    </row>
    <row r="79" spans="1:16" x14ac:dyDescent="0.3">
      <c r="A79" s="33" t="s">
        <v>18</v>
      </c>
      <c r="B79" s="7">
        <v>72135</v>
      </c>
      <c r="C79" s="7">
        <v>75320</v>
      </c>
      <c r="D79" s="7">
        <v>71260</v>
      </c>
      <c r="E79" s="7">
        <v>88200</v>
      </c>
      <c r="F79" s="7">
        <v>59990</v>
      </c>
      <c r="G79" s="7">
        <v>74760</v>
      </c>
      <c r="H79" s="7">
        <v>80815</v>
      </c>
      <c r="I79" s="7">
        <v>78120</v>
      </c>
      <c r="J79" s="7">
        <v>81130</v>
      </c>
      <c r="K79" s="7">
        <v>83895</v>
      </c>
      <c r="L79" s="7">
        <v>80535</v>
      </c>
      <c r="M79" s="7">
        <v>74270</v>
      </c>
      <c r="N79" s="7">
        <v>920430</v>
      </c>
      <c r="O79" s="34">
        <f>GETPIVOTDATA("Shipments",$A$75,"Year",2024,"Department","Ocean")/GETPIVOTDATA("Shipments",$A$75,"Year",2024)</f>
        <v>0.76144424819758516</v>
      </c>
    </row>
    <row r="80" spans="1:16" x14ac:dyDescent="0.3">
      <c r="A80" s="33" t="s">
        <v>16</v>
      </c>
      <c r="B80" s="7">
        <v>18200</v>
      </c>
      <c r="C80" s="7">
        <v>17850</v>
      </c>
      <c r="D80" s="7">
        <v>17500</v>
      </c>
      <c r="E80" s="7">
        <v>17675</v>
      </c>
      <c r="F80" s="7">
        <v>18025</v>
      </c>
      <c r="G80" s="7">
        <v>18375</v>
      </c>
      <c r="H80" s="7">
        <v>18550</v>
      </c>
      <c r="I80" s="7">
        <v>18480</v>
      </c>
      <c r="J80" s="7">
        <v>18200</v>
      </c>
      <c r="K80" s="7">
        <v>18130</v>
      </c>
      <c r="L80" s="7">
        <v>18025</v>
      </c>
      <c r="M80" s="35">
        <v>36750</v>
      </c>
      <c r="N80" s="7">
        <v>235760</v>
      </c>
      <c r="O80" s="18"/>
    </row>
    <row r="81" spans="1:16" x14ac:dyDescent="0.3">
      <c r="A81" s="33" t="s">
        <v>11</v>
      </c>
      <c r="B81" s="7">
        <v>1960</v>
      </c>
      <c r="C81" s="7">
        <v>2695</v>
      </c>
      <c r="D81" s="7">
        <v>2415</v>
      </c>
      <c r="E81" s="7">
        <v>2485</v>
      </c>
      <c r="F81" s="7">
        <v>2555</v>
      </c>
      <c r="G81" s="7">
        <v>1925</v>
      </c>
      <c r="H81" s="7">
        <v>2170</v>
      </c>
      <c r="I81" s="7">
        <v>2310</v>
      </c>
      <c r="J81" s="7">
        <v>2135</v>
      </c>
      <c r="K81" s="7">
        <v>2520</v>
      </c>
      <c r="L81" s="7">
        <v>2450</v>
      </c>
      <c r="M81" s="7">
        <v>2275</v>
      </c>
      <c r="N81" s="7">
        <v>27895</v>
      </c>
      <c r="O81" s="18"/>
    </row>
    <row r="82" spans="1:16" x14ac:dyDescent="0.3">
      <c r="A82" s="18">
        <v>2025</v>
      </c>
      <c r="B82" s="7">
        <v>101245</v>
      </c>
      <c r="C82" s="7">
        <v>105260</v>
      </c>
      <c r="D82" s="7">
        <v>100283</v>
      </c>
      <c r="E82" s="7">
        <v>94256</v>
      </c>
      <c r="F82" s="7">
        <v>88474</v>
      </c>
      <c r="G82" s="7">
        <v>104525</v>
      </c>
      <c r="H82" s="7">
        <v>111605</v>
      </c>
      <c r="I82" s="7">
        <v>108567</v>
      </c>
      <c r="J82" s="7">
        <v>111567</v>
      </c>
      <c r="K82" s="7">
        <v>115074</v>
      </c>
      <c r="L82" s="7">
        <v>111577</v>
      </c>
      <c r="M82" s="7">
        <v>104325</v>
      </c>
      <c r="N82" s="7">
        <v>1256758</v>
      </c>
      <c r="O82" s="18"/>
      <c r="P82" s="26">
        <f>GETPIVOTDATA("Shipments",$A$75,"Year",2025)/GETPIVOTDATA("Shipments",$A$75,"Year",2024)</f>
        <v>1.0396783573724246</v>
      </c>
    </row>
    <row r="83" spans="1:16" x14ac:dyDescent="0.3">
      <c r="A83" s="33" t="s">
        <v>13</v>
      </c>
      <c r="B83" s="7">
        <v>2310</v>
      </c>
      <c r="C83" s="7">
        <v>2118</v>
      </c>
      <c r="D83" s="7">
        <v>1810</v>
      </c>
      <c r="E83" s="7">
        <v>2272</v>
      </c>
      <c r="F83" s="7">
        <v>1964</v>
      </c>
      <c r="G83" s="7">
        <v>2426</v>
      </c>
      <c r="H83" s="7">
        <v>2541</v>
      </c>
      <c r="I83" s="7">
        <v>2349</v>
      </c>
      <c r="J83" s="7">
        <v>2195</v>
      </c>
      <c r="K83" s="7">
        <v>2272</v>
      </c>
      <c r="L83" s="7">
        <v>2618</v>
      </c>
      <c r="M83" s="7">
        <v>2310</v>
      </c>
      <c r="N83" s="7">
        <v>27185</v>
      </c>
      <c r="O83" s="34">
        <f>GETPIVOTDATA("Shipments",$A$75,"Year",2025,"Department","Air")/GETPIVOTDATA("Shipments",$A$75,"Year",2025)</f>
        <v>2.1631053870355309E-2</v>
      </c>
      <c r="P83" s="24">
        <f>GETPIVOTDATA("Shipments",$A$75,"Year",2025,"Department","Air")/GETPIVOTDATA("Shipments",$A$75,"Year",2024,"Department","Air")</f>
        <v>1.1001618777822744</v>
      </c>
    </row>
    <row r="84" spans="1:16" x14ac:dyDescent="0.3">
      <c r="A84" s="33" t="s">
        <v>18</v>
      </c>
      <c r="B84" s="7">
        <v>77879</v>
      </c>
      <c r="C84" s="7">
        <v>81452</v>
      </c>
      <c r="D84" s="7">
        <v>77441</v>
      </c>
      <c r="E84" s="7">
        <v>70700</v>
      </c>
      <c r="F84" s="7">
        <v>64974</v>
      </c>
      <c r="G84" s="7">
        <v>80906</v>
      </c>
      <c r="H84" s="7">
        <v>87427</v>
      </c>
      <c r="I84" s="7">
        <v>84497</v>
      </c>
      <c r="J84" s="7">
        <v>88123</v>
      </c>
      <c r="K84" s="7">
        <v>91200</v>
      </c>
      <c r="L84" s="7">
        <v>87539</v>
      </c>
      <c r="M84" s="7">
        <v>80437</v>
      </c>
      <c r="N84" s="7">
        <v>972575</v>
      </c>
      <c r="O84" s="34">
        <f>GETPIVOTDATA("Shipments",$A$75,"Year",2025,"Department","Ocean")/GETPIVOTDATA("Shipments",$A$75,"Year",2025)</f>
        <v>0.77387611616556251</v>
      </c>
      <c r="P84" s="24">
        <f>GETPIVOTDATA("Shipments",$A$75,"Year",2025,"Department","Ocean")/GETPIVOTDATA("Shipments",$A$75,"Year",2024,"Department","Ocean")</f>
        <v>1.0566528687678585</v>
      </c>
    </row>
    <row r="85" spans="1:16" x14ac:dyDescent="0.3">
      <c r="A85" s="33" t="s">
        <v>16</v>
      </c>
      <c r="B85" s="7">
        <v>18900</v>
      </c>
      <c r="C85" s="7">
        <v>18725</v>
      </c>
      <c r="D85" s="7">
        <v>18375</v>
      </c>
      <c r="E85" s="7">
        <v>18550</v>
      </c>
      <c r="F85" s="7">
        <v>18725</v>
      </c>
      <c r="G85" s="7">
        <v>19075</v>
      </c>
      <c r="H85" s="7">
        <v>19250</v>
      </c>
      <c r="I85" s="7">
        <v>19180</v>
      </c>
      <c r="J85" s="7">
        <v>18900</v>
      </c>
      <c r="K85" s="7">
        <v>18830</v>
      </c>
      <c r="L85" s="7">
        <v>18725</v>
      </c>
      <c r="M85" s="7">
        <v>19075</v>
      </c>
      <c r="N85" s="7">
        <v>226310</v>
      </c>
      <c r="O85" s="34">
        <f>GETPIVOTDATA("Shipments",$A$75,"Year",2025,"Department","RAIL")/GETPIVOTDATA("Shipments",$A$75,"Year",2025)</f>
        <v>0.18007444551775281</v>
      </c>
      <c r="P85" s="29">
        <f>GETPIVOTDATA("Shipments",$A$75,"Year",2025,"Department","RAIL")/GETPIVOTDATA("Shipments",$A$75,"Year",2024,"Department","RAIL")</f>
        <v>0.95991686460807601</v>
      </c>
    </row>
    <row r="86" spans="1:16" x14ac:dyDescent="0.3">
      <c r="A86" s="33" t="s">
        <v>11</v>
      </c>
      <c r="B86" s="7">
        <v>2156</v>
      </c>
      <c r="C86" s="7">
        <v>2965</v>
      </c>
      <c r="D86" s="7">
        <v>2657</v>
      </c>
      <c r="E86" s="7">
        <v>2734</v>
      </c>
      <c r="F86" s="7">
        <v>2811</v>
      </c>
      <c r="G86" s="7">
        <v>2118</v>
      </c>
      <c r="H86" s="7">
        <v>2387</v>
      </c>
      <c r="I86" s="7">
        <v>2541</v>
      </c>
      <c r="J86" s="7">
        <v>2349</v>
      </c>
      <c r="K86" s="7">
        <v>2772</v>
      </c>
      <c r="L86" s="7">
        <v>2695</v>
      </c>
      <c r="M86" s="7">
        <v>2503</v>
      </c>
      <c r="N86" s="7">
        <v>30688</v>
      </c>
      <c r="O86" s="34">
        <f>GETPIVOTDATA("Shipments",$A$75,"Year",2025,"Department","ROAD")/GETPIVOTDATA("Shipments",$A$75,"Year",2025)</f>
        <v>2.4418384446329364E-2</v>
      </c>
      <c r="P86" s="24">
        <f>GETPIVOTDATA("Shipments",$A$75,"Year",2025,"Department","ROAD")/GETPIVOTDATA("Shipments",$A$75,"Year",2024,"Department","ROAD")</f>
        <v>1.1001254705144292</v>
      </c>
    </row>
    <row r="87" spans="1:16" x14ac:dyDescent="0.3">
      <c r="A87" s="18" t="s">
        <v>44</v>
      </c>
      <c r="B87" s="7">
        <v>195640</v>
      </c>
      <c r="C87" s="7">
        <v>203050</v>
      </c>
      <c r="D87" s="7">
        <v>193103</v>
      </c>
      <c r="E87" s="7">
        <v>204681</v>
      </c>
      <c r="F87" s="7">
        <v>170829</v>
      </c>
      <c r="G87" s="7">
        <v>201790</v>
      </c>
      <c r="H87" s="7">
        <v>215450</v>
      </c>
      <c r="I87" s="7">
        <v>209612</v>
      </c>
      <c r="J87" s="7">
        <v>215027</v>
      </c>
      <c r="K87" s="7">
        <v>221684</v>
      </c>
      <c r="L87" s="7">
        <v>214967</v>
      </c>
      <c r="M87" s="7">
        <v>219720</v>
      </c>
      <c r="N87" s="7">
        <v>2465553</v>
      </c>
      <c r="O87" s="18"/>
    </row>
    <row r="89" spans="1:16" x14ac:dyDescent="0.3">
      <c r="A89" s="22" t="s">
        <v>58</v>
      </c>
    </row>
    <row r="90" spans="1:16" x14ac:dyDescent="0.3">
      <c r="A90" s="36" t="s">
        <v>57</v>
      </c>
      <c r="B90" s="36" t="s">
        <v>43</v>
      </c>
    </row>
    <row r="91" spans="1:16" x14ac:dyDescent="0.3">
      <c r="A91" s="36" t="s">
        <v>48</v>
      </c>
      <c r="B91">
        <v>1</v>
      </c>
      <c r="C91">
        <v>2</v>
      </c>
      <c r="D91">
        <v>3</v>
      </c>
      <c r="E91">
        <v>4</v>
      </c>
      <c r="F91">
        <v>5</v>
      </c>
      <c r="G91">
        <v>6</v>
      </c>
      <c r="H91">
        <v>7</v>
      </c>
      <c r="I91">
        <v>8</v>
      </c>
      <c r="J91">
        <v>9</v>
      </c>
      <c r="K91">
        <v>10</v>
      </c>
      <c r="L91">
        <v>11</v>
      </c>
      <c r="M91">
        <v>12</v>
      </c>
      <c r="N91" t="s">
        <v>44</v>
      </c>
    </row>
    <row r="92" spans="1:16" x14ac:dyDescent="0.3">
      <c r="A92" s="18">
        <v>2024</v>
      </c>
      <c r="B92" s="7">
        <v>94395</v>
      </c>
      <c r="C92" s="7">
        <v>97790</v>
      </c>
      <c r="D92" s="7">
        <v>92820</v>
      </c>
      <c r="E92" s="7">
        <v>110425</v>
      </c>
      <c r="F92" s="7">
        <v>82355</v>
      </c>
      <c r="G92" s="7">
        <v>97265</v>
      </c>
      <c r="H92" s="7">
        <v>103845</v>
      </c>
      <c r="I92" s="7">
        <v>101045</v>
      </c>
      <c r="J92" s="7">
        <v>103460</v>
      </c>
      <c r="K92" s="7">
        <v>106610</v>
      </c>
      <c r="L92" s="7">
        <v>103390</v>
      </c>
      <c r="M92" s="7">
        <v>115395</v>
      </c>
      <c r="N92" s="7">
        <v>1208795</v>
      </c>
    </row>
    <row r="93" spans="1:16" x14ac:dyDescent="0.3">
      <c r="A93" s="33" t="s">
        <v>14</v>
      </c>
      <c r="B93" s="7">
        <v>2100</v>
      </c>
      <c r="C93" s="7">
        <v>1925</v>
      </c>
      <c r="D93" s="7">
        <v>1645</v>
      </c>
      <c r="E93" s="7">
        <v>2065</v>
      </c>
      <c r="F93" s="7">
        <v>1785</v>
      </c>
      <c r="G93" s="7">
        <v>2205</v>
      </c>
      <c r="H93" s="7">
        <v>2310</v>
      </c>
      <c r="I93" s="7">
        <v>2135</v>
      </c>
      <c r="J93" s="7">
        <v>1995</v>
      </c>
      <c r="K93" s="7">
        <v>2065</v>
      </c>
      <c r="L93" s="7">
        <v>2380</v>
      </c>
      <c r="M93" s="7">
        <v>2100</v>
      </c>
      <c r="N93" s="7">
        <v>24710</v>
      </c>
    </row>
    <row r="94" spans="1:16" x14ac:dyDescent="0.3">
      <c r="A94" s="33" t="s">
        <v>20</v>
      </c>
      <c r="B94" s="7">
        <v>43435</v>
      </c>
      <c r="C94" s="7">
        <v>47320</v>
      </c>
      <c r="D94" s="7">
        <v>47810</v>
      </c>
      <c r="E94" s="7">
        <v>42000</v>
      </c>
      <c r="F94" s="7">
        <v>35840</v>
      </c>
      <c r="G94" s="7">
        <v>43960</v>
      </c>
      <c r="H94" s="7">
        <v>48615</v>
      </c>
      <c r="I94" s="7">
        <v>46270</v>
      </c>
      <c r="J94" s="7">
        <v>55930</v>
      </c>
      <c r="K94" s="7">
        <v>59045</v>
      </c>
      <c r="L94" s="7">
        <v>56035</v>
      </c>
      <c r="M94" s="7">
        <v>47670</v>
      </c>
      <c r="N94" s="7">
        <v>573930</v>
      </c>
    </row>
    <row r="95" spans="1:16" x14ac:dyDescent="0.3">
      <c r="A95" s="33" t="s">
        <v>12</v>
      </c>
      <c r="B95" s="7">
        <v>1960</v>
      </c>
      <c r="C95" s="7">
        <v>2695</v>
      </c>
      <c r="D95" s="7">
        <v>2415</v>
      </c>
      <c r="E95" s="7">
        <v>2485</v>
      </c>
      <c r="F95" s="7">
        <v>2555</v>
      </c>
      <c r="G95" s="7">
        <v>1925</v>
      </c>
      <c r="H95" s="7">
        <v>2170</v>
      </c>
      <c r="I95" s="7">
        <v>2310</v>
      </c>
      <c r="J95" s="7">
        <v>2135</v>
      </c>
      <c r="K95" s="7">
        <v>2520</v>
      </c>
      <c r="L95" s="7">
        <v>2450</v>
      </c>
      <c r="M95" s="7">
        <v>2275</v>
      </c>
      <c r="N95" s="7">
        <v>27895</v>
      </c>
    </row>
    <row r="96" spans="1:16" x14ac:dyDescent="0.3">
      <c r="A96" s="33" t="s">
        <v>19</v>
      </c>
      <c r="B96" s="7">
        <v>28700</v>
      </c>
      <c r="C96" s="7">
        <v>28000</v>
      </c>
      <c r="D96" s="7">
        <v>23450</v>
      </c>
      <c r="E96" s="7">
        <v>46200</v>
      </c>
      <c r="F96" s="7">
        <v>24150</v>
      </c>
      <c r="G96" s="7">
        <v>30800</v>
      </c>
      <c r="H96" s="7">
        <v>32200</v>
      </c>
      <c r="I96" s="7">
        <v>31850</v>
      </c>
      <c r="J96" s="7">
        <v>25200</v>
      </c>
      <c r="K96" s="7">
        <v>24850</v>
      </c>
      <c r="L96" s="7">
        <v>24500</v>
      </c>
      <c r="M96" s="7">
        <v>26600</v>
      </c>
      <c r="N96" s="20">
        <v>346500</v>
      </c>
    </row>
    <row r="97" spans="1:16" x14ac:dyDescent="0.3">
      <c r="A97" s="33" t="s">
        <v>16</v>
      </c>
      <c r="B97" s="7">
        <v>18200</v>
      </c>
      <c r="C97" s="7">
        <v>17850</v>
      </c>
      <c r="D97" s="7">
        <v>17500</v>
      </c>
      <c r="E97" s="7">
        <v>17675</v>
      </c>
      <c r="F97" s="7">
        <v>18025</v>
      </c>
      <c r="G97" s="7">
        <v>18375</v>
      </c>
      <c r="H97" s="7">
        <v>18550</v>
      </c>
      <c r="I97" s="7">
        <v>18480</v>
      </c>
      <c r="J97" s="7">
        <v>18200</v>
      </c>
      <c r="K97" s="7">
        <v>18130</v>
      </c>
      <c r="L97" s="7">
        <v>18025</v>
      </c>
      <c r="M97" s="7">
        <v>36750</v>
      </c>
      <c r="N97" s="7">
        <v>235760</v>
      </c>
    </row>
    <row r="98" spans="1:16" x14ac:dyDescent="0.3">
      <c r="A98" s="18">
        <v>2025</v>
      </c>
      <c r="B98" s="7">
        <v>101245</v>
      </c>
      <c r="C98" s="7">
        <v>105260</v>
      </c>
      <c r="D98" s="7">
        <v>100283</v>
      </c>
      <c r="E98" s="7">
        <v>94256</v>
      </c>
      <c r="F98" s="7">
        <v>88474</v>
      </c>
      <c r="G98" s="7">
        <v>104525</v>
      </c>
      <c r="H98" s="7">
        <v>111605</v>
      </c>
      <c r="I98" s="7">
        <v>108567</v>
      </c>
      <c r="J98" s="7">
        <v>111567</v>
      </c>
      <c r="K98" s="7">
        <v>115074</v>
      </c>
      <c r="L98" s="7">
        <v>111577</v>
      </c>
      <c r="M98" s="7">
        <v>104325</v>
      </c>
      <c r="N98" s="7">
        <v>1256758</v>
      </c>
      <c r="P98" s="26">
        <f>GETPIVOTDATA("Shipments",$A$90,"Year",2025)/GETPIVOTDATA("Shipments",$A$90,"Year",2024)</f>
        <v>1.0396783573724246</v>
      </c>
    </row>
    <row r="99" spans="1:16" x14ac:dyDescent="0.3">
      <c r="A99" s="33" t="s">
        <v>14</v>
      </c>
      <c r="B99" s="7">
        <v>2310</v>
      </c>
      <c r="C99" s="7">
        <v>2118</v>
      </c>
      <c r="D99" s="7">
        <v>1810</v>
      </c>
      <c r="E99" s="7">
        <v>2272</v>
      </c>
      <c r="F99" s="7">
        <v>1964</v>
      </c>
      <c r="G99" s="7">
        <v>2426</v>
      </c>
      <c r="H99" s="7">
        <v>2541</v>
      </c>
      <c r="I99" s="7">
        <v>2349</v>
      </c>
      <c r="J99" s="7">
        <v>2195</v>
      </c>
      <c r="K99" s="7">
        <v>2272</v>
      </c>
      <c r="L99" s="7">
        <v>2618</v>
      </c>
      <c r="M99" s="7">
        <v>2310</v>
      </c>
      <c r="N99" s="7">
        <v>27185</v>
      </c>
      <c r="P99" s="24">
        <f>GETPIVOTDATA("Shipments",$A$90,"Year",2025,"Product","Airfreight")/GETPIVOTDATA("Shipments",$A$90,"Year",2024,"Product","Airfreight")</f>
        <v>1.1001618777822744</v>
      </c>
    </row>
    <row r="100" spans="1:16" x14ac:dyDescent="0.3">
      <c r="A100" s="33" t="s">
        <v>20</v>
      </c>
      <c r="B100" s="7">
        <v>47779</v>
      </c>
      <c r="C100" s="7">
        <v>52052</v>
      </c>
      <c r="D100" s="7">
        <v>52591</v>
      </c>
      <c r="E100" s="7">
        <v>46200</v>
      </c>
      <c r="F100" s="7">
        <v>39424</v>
      </c>
      <c r="G100" s="7">
        <v>48356</v>
      </c>
      <c r="H100" s="7">
        <v>53477</v>
      </c>
      <c r="I100" s="7">
        <v>50897</v>
      </c>
      <c r="J100" s="7">
        <v>61523</v>
      </c>
      <c r="K100" s="7">
        <v>64950</v>
      </c>
      <c r="L100" s="7">
        <v>61639</v>
      </c>
      <c r="M100" s="7">
        <v>52437</v>
      </c>
      <c r="N100" s="7">
        <v>631325</v>
      </c>
      <c r="P100" s="24">
        <f>GETPIVOTDATA("Shipments",$A$90,"Year",2025,"Product","FCL")/GETPIVOTDATA("Shipments",$A$90,"Year",2024,"Product","FCL")</f>
        <v>1.1000034847455264</v>
      </c>
    </row>
    <row r="101" spans="1:16" x14ac:dyDescent="0.3">
      <c r="A101" s="33" t="s">
        <v>12</v>
      </c>
      <c r="B101" s="7">
        <v>2156</v>
      </c>
      <c r="C101" s="7">
        <v>2965</v>
      </c>
      <c r="D101" s="7">
        <v>2657</v>
      </c>
      <c r="E101" s="7">
        <v>2734</v>
      </c>
      <c r="F101" s="7">
        <v>2811</v>
      </c>
      <c r="G101" s="7">
        <v>2118</v>
      </c>
      <c r="H101" s="7">
        <v>2387</v>
      </c>
      <c r="I101" s="7">
        <v>2541</v>
      </c>
      <c r="J101" s="7">
        <v>2349</v>
      </c>
      <c r="K101" s="7">
        <v>2772</v>
      </c>
      <c r="L101" s="7">
        <v>2695</v>
      </c>
      <c r="M101" s="7">
        <v>2503</v>
      </c>
      <c r="N101" s="7">
        <v>30688</v>
      </c>
      <c r="P101" s="24">
        <f>GETPIVOTDATA("Shipments",$A$90,"Year",2025,"Product","International")/GETPIVOTDATA("Shipments",$A$90,"Year",2024,"Product","International")</f>
        <v>1.1001254705144292</v>
      </c>
    </row>
    <row r="102" spans="1:16" x14ac:dyDescent="0.3">
      <c r="A102" s="33" t="s">
        <v>19</v>
      </c>
      <c r="B102" s="7">
        <v>30100</v>
      </c>
      <c r="C102" s="7">
        <v>29400</v>
      </c>
      <c r="D102" s="7">
        <v>24850</v>
      </c>
      <c r="E102" s="7">
        <v>24500</v>
      </c>
      <c r="F102" s="7">
        <v>25550</v>
      </c>
      <c r="G102" s="7">
        <v>32550</v>
      </c>
      <c r="H102" s="7">
        <v>33950</v>
      </c>
      <c r="I102" s="7">
        <v>33600</v>
      </c>
      <c r="J102" s="7">
        <v>26600</v>
      </c>
      <c r="K102" s="7">
        <v>26250</v>
      </c>
      <c r="L102" s="7">
        <v>25900</v>
      </c>
      <c r="M102" s="7">
        <v>28000</v>
      </c>
      <c r="N102" s="20">
        <v>341250</v>
      </c>
      <c r="P102" s="29">
        <f>GETPIVOTDATA("Shipments",$A$90,"Year",2025,"Product","LCL")/GETPIVOTDATA("Shipments",$A$90,"Year",2024,"Product","LCL")</f>
        <v>0.98484848484848486</v>
      </c>
    </row>
    <row r="103" spans="1:16" x14ac:dyDescent="0.3">
      <c r="A103" s="33" t="s">
        <v>16</v>
      </c>
      <c r="B103" s="7">
        <v>18900</v>
      </c>
      <c r="C103" s="7">
        <v>18725</v>
      </c>
      <c r="D103" s="7">
        <v>18375</v>
      </c>
      <c r="E103" s="7">
        <v>18550</v>
      </c>
      <c r="F103" s="7">
        <v>18725</v>
      </c>
      <c r="G103" s="7">
        <v>19075</v>
      </c>
      <c r="H103" s="7">
        <v>19250</v>
      </c>
      <c r="I103" s="7">
        <v>19180</v>
      </c>
      <c r="J103" s="7">
        <v>18900</v>
      </c>
      <c r="K103" s="7">
        <v>18830</v>
      </c>
      <c r="L103" s="7">
        <v>18725</v>
      </c>
      <c r="M103" s="7">
        <v>19075</v>
      </c>
      <c r="N103" s="20">
        <v>226310</v>
      </c>
      <c r="P103" s="29">
        <f>GETPIVOTDATA("Shipments",$A$90,"Year",2025,"Product","RAIL")/GETPIVOTDATA("Shipments",$A$90,"Year",2024,"Product","RAIL")</f>
        <v>0.95991686460807601</v>
      </c>
    </row>
    <row r="104" spans="1:16" x14ac:dyDescent="0.3">
      <c r="A104" s="18" t="s">
        <v>44</v>
      </c>
      <c r="B104" s="7">
        <v>195640</v>
      </c>
      <c r="C104" s="7">
        <v>203050</v>
      </c>
      <c r="D104" s="7">
        <v>193103</v>
      </c>
      <c r="E104" s="7">
        <v>204681</v>
      </c>
      <c r="F104" s="7">
        <v>170829</v>
      </c>
      <c r="G104" s="7">
        <v>201790</v>
      </c>
      <c r="H104" s="7">
        <v>215450</v>
      </c>
      <c r="I104" s="7">
        <v>209612</v>
      </c>
      <c r="J104" s="7">
        <v>215027</v>
      </c>
      <c r="K104" s="7">
        <v>221684</v>
      </c>
      <c r="L104" s="7">
        <v>214967</v>
      </c>
      <c r="M104" s="7">
        <v>219720</v>
      </c>
      <c r="N104" s="7">
        <v>2465553</v>
      </c>
    </row>
    <row r="107" spans="1:16" x14ac:dyDescent="0.3">
      <c r="A107" s="22" t="s">
        <v>59</v>
      </c>
    </row>
    <row r="108" spans="1:16" x14ac:dyDescent="0.3">
      <c r="A108" s="36" t="s">
        <v>43</v>
      </c>
      <c r="B108" t="s">
        <v>51</v>
      </c>
      <c r="C108" t="s">
        <v>53</v>
      </c>
    </row>
    <row r="109" spans="1:16" x14ac:dyDescent="0.3">
      <c r="A109" s="18">
        <v>2024</v>
      </c>
      <c r="B109" s="5">
        <v>1426569725</v>
      </c>
      <c r="C109" s="5">
        <v>1089472622.7636366</v>
      </c>
    </row>
    <row r="110" spans="1:16" x14ac:dyDescent="0.3">
      <c r="A110" s="33">
        <v>1</v>
      </c>
      <c r="B110" s="5">
        <v>120155256.66666667</v>
      </c>
      <c r="C110" s="5">
        <v>91571381.554545462</v>
      </c>
    </row>
    <row r="111" spans="1:16" x14ac:dyDescent="0.3">
      <c r="A111" s="33">
        <v>2</v>
      </c>
      <c r="B111" s="5">
        <v>125227410</v>
      </c>
      <c r="C111" s="5">
        <v>95835933.263636366</v>
      </c>
    </row>
    <row r="112" spans="1:16" x14ac:dyDescent="0.3">
      <c r="A112" s="33">
        <v>3</v>
      </c>
      <c r="B112" s="5">
        <v>123557291.66666667</v>
      </c>
      <c r="C112" s="5">
        <v>90376911.163636357</v>
      </c>
    </row>
    <row r="113" spans="1:3" x14ac:dyDescent="0.3">
      <c r="A113" s="33">
        <v>4</v>
      </c>
      <c r="B113" s="5">
        <v>128501660</v>
      </c>
      <c r="C113" s="5">
        <v>105017919.52272728</v>
      </c>
    </row>
    <row r="114" spans="1:3" x14ac:dyDescent="0.3">
      <c r="A114" s="33">
        <v>5</v>
      </c>
      <c r="B114" s="5">
        <v>103554908.33333333</v>
      </c>
      <c r="C114" s="5">
        <v>86857627.945454538</v>
      </c>
    </row>
    <row r="115" spans="1:3" x14ac:dyDescent="0.3">
      <c r="A115" s="33">
        <v>6</v>
      </c>
      <c r="B115" s="5">
        <v>115808723.33333333</v>
      </c>
      <c r="C115" s="5">
        <v>85277282.4909091</v>
      </c>
    </row>
    <row r="116" spans="1:3" x14ac:dyDescent="0.3">
      <c r="A116" s="33">
        <v>7</v>
      </c>
      <c r="B116" s="5">
        <v>118243918.33333333</v>
      </c>
      <c r="C116" s="5">
        <v>94182697.445454538</v>
      </c>
    </row>
    <row r="117" spans="1:3" x14ac:dyDescent="0.3">
      <c r="A117" s="33">
        <v>8</v>
      </c>
      <c r="B117" s="5">
        <v>115805946.66666667</v>
      </c>
      <c r="C117" s="5">
        <v>87532322.404545456</v>
      </c>
    </row>
    <row r="118" spans="1:3" x14ac:dyDescent="0.3">
      <c r="A118" s="33">
        <v>9</v>
      </c>
      <c r="B118" s="5">
        <v>120818576.66666667</v>
      </c>
      <c r="C118" s="5">
        <v>94408670.968181819</v>
      </c>
    </row>
    <row r="119" spans="1:3" x14ac:dyDescent="0.3">
      <c r="A119" s="33">
        <v>10</v>
      </c>
      <c r="B119" s="5">
        <v>120347325</v>
      </c>
      <c r="C119" s="5">
        <v>87301128.377272725</v>
      </c>
    </row>
    <row r="120" spans="1:3" x14ac:dyDescent="0.3">
      <c r="A120" s="33">
        <v>11</v>
      </c>
      <c r="B120" s="5">
        <v>117104808.33333333</v>
      </c>
      <c r="C120" s="5">
        <v>82746446.936363637</v>
      </c>
    </row>
    <row r="121" spans="1:3" x14ac:dyDescent="0.3">
      <c r="A121" s="33">
        <v>12</v>
      </c>
      <c r="B121" s="5">
        <v>117443900</v>
      </c>
      <c r="C121" s="5">
        <v>88364300.690909088</v>
      </c>
    </row>
    <row r="122" spans="1:3" x14ac:dyDescent="0.3">
      <c r="A122" s="18">
        <v>2025</v>
      </c>
      <c r="B122" s="5">
        <v>1531317788.7</v>
      </c>
      <c r="C122" s="5">
        <v>1165722461.6341817</v>
      </c>
    </row>
    <row r="123" spans="1:3" x14ac:dyDescent="0.3">
      <c r="A123" s="33">
        <v>1</v>
      </c>
      <c r="B123" s="5">
        <v>131295601.96666667</v>
      </c>
      <c r="C123" s="5">
        <v>99915388.781727284</v>
      </c>
    </row>
    <row r="124" spans="1:3" x14ac:dyDescent="0.3">
      <c r="A124" s="33">
        <v>2</v>
      </c>
      <c r="B124" s="5">
        <v>136976903.70000002</v>
      </c>
      <c r="C124" s="5">
        <v>104681791.32918182</v>
      </c>
    </row>
    <row r="125" spans="1:3" x14ac:dyDescent="0.3">
      <c r="A125" s="33">
        <v>3</v>
      </c>
      <c r="B125" s="5">
        <v>135216027.56666669</v>
      </c>
      <c r="C125" s="5">
        <v>98660994.330181837</v>
      </c>
    </row>
    <row r="126" spans="1:3" x14ac:dyDescent="0.3">
      <c r="A126" s="33">
        <v>4</v>
      </c>
      <c r="B126" s="5">
        <v>124345520.25</v>
      </c>
      <c r="C126" s="5">
        <v>101506097.64113636</v>
      </c>
    </row>
    <row r="127" spans="1:3" x14ac:dyDescent="0.3">
      <c r="A127" s="33">
        <v>5</v>
      </c>
      <c r="B127" s="5">
        <v>113131133.03333335</v>
      </c>
      <c r="C127" s="5">
        <v>94718366.723272726</v>
      </c>
    </row>
    <row r="128" spans="1:3" x14ac:dyDescent="0.3">
      <c r="A128" s="33">
        <v>6</v>
      </c>
      <c r="B128" s="5">
        <v>126519329.53333335</v>
      </c>
      <c r="C128" s="5">
        <v>93013739.45054546</v>
      </c>
    </row>
    <row r="129" spans="1:6" x14ac:dyDescent="0.3">
      <c r="A129" s="33">
        <v>7</v>
      </c>
      <c r="B129" s="5">
        <v>129102042.53333333</v>
      </c>
      <c r="C129" s="5">
        <v>102738144.32827275</v>
      </c>
    </row>
    <row r="130" spans="1:6" x14ac:dyDescent="0.3">
      <c r="A130" s="33">
        <v>8</v>
      </c>
      <c r="B130" s="5">
        <v>126465169.01666667</v>
      </c>
      <c r="C130" s="5">
        <v>95447358.393227279</v>
      </c>
    </row>
    <row r="131" spans="1:6" x14ac:dyDescent="0.3">
      <c r="A131" s="33">
        <v>9</v>
      </c>
      <c r="B131" s="5">
        <v>132089884.61666667</v>
      </c>
      <c r="C131" s="5">
        <v>102943382.7294091</v>
      </c>
    </row>
    <row r="132" spans="1:6" x14ac:dyDescent="0.3">
      <c r="A132" s="33">
        <v>10</v>
      </c>
      <c r="B132" s="5">
        <v>131596428.95000002</v>
      </c>
      <c r="C132" s="5">
        <v>95129974.459863633</v>
      </c>
    </row>
    <row r="133" spans="1:6" x14ac:dyDescent="0.3">
      <c r="A133" s="33">
        <v>11</v>
      </c>
      <c r="B133" s="5">
        <v>128041329.73333335</v>
      </c>
      <c r="C133" s="5">
        <v>90111253.158818185</v>
      </c>
    </row>
    <row r="134" spans="1:6" x14ac:dyDescent="0.3">
      <c r="A134" s="33">
        <v>12</v>
      </c>
      <c r="B134" s="5">
        <v>116538417.8</v>
      </c>
      <c r="C134" s="5">
        <v>86855970.308545455</v>
      </c>
    </row>
    <row r="135" spans="1:6" x14ac:dyDescent="0.3">
      <c r="A135" s="18" t="s">
        <v>44</v>
      </c>
      <c r="B135" s="5">
        <v>2957887513.7000008</v>
      </c>
      <c r="C135" s="5">
        <v>2255195084.397819</v>
      </c>
    </row>
    <row r="139" spans="1:6" x14ac:dyDescent="0.3">
      <c r="A139" s="22" t="s">
        <v>60</v>
      </c>
    </row>
    <row r="140" spans="1:6" x14ac:dyDescent="0.3">
      <c r="A140" s="36" t="s">
        <v>42</v>
      </c>
      <c r="B140" s="36" t="s">
        <v>61</v>
      </c>
    </row>
    <row r="141" spans="1:6" x14ac:dyDescent="0.3">
      <c r="A141" s="36" t="s">
        <v>48</v>
      </c>
      <c r="B141" t="s">
        <v>13</v>
      </c>
      <c r="C141" t="s">
        <v>18</v>
      </c>
      <c r="D141" t="s">
        <v>16</v>
      </c>
      <c r="E141" t="s">
        <v>11</v>
      </c>
      <c r="F141" t="s">
        <v>44</v>
      </c>
    </row>
    <row r="142" spans="1:6" x14ac:dyDescent="0.3">
      <c r="A142" s="18">
        <v>2024</v>
      </c>
      <c r="B142" s="8">
        <v>2036363.636363636</v>
      </c>
      <c r="C142" s="8">
        <v>301615965</v>
      </c>
      <c r="D142" s="8">
        <v>26705000</v>
      </c>
      <c r="E142" s="8">
        <v>6739773.5999999978</v>
      </c>
      <c r="F142" s="8">
        <v>337097102.23636359</v>
      </c>
    </row>
    <row r="143" spans="1:6" x14ac:dyDescent="0.3">
      <c r="A143" s="33">
        <v>1</v>
      </c>
      <c r="B143" s="8">
        <v>212121.21212121216</v>
      </c>
      <c r="C143" s="8">
        <v>25764795</v>
      </c>
      <c r="D143" s="8">
        <v>2100000</v>
      </c>
      <c r="E143" s="8">
        <v>506958.90000000014</v>
      </c>
      <c r="F143" s="8">
        <v>28583875.11212121</v>
      </c>
    </row>
    <row r="144" spans="1:6" x14ac:dyDescent="0.3">
      <c r="A144" s="33">
        <v>2</v>
      </c>
      <c r="B144" s="8">
        <v>198863.63636363647</v>
      </c>
      <c r="C144" s="8">
        <v>26537980</v>
      </c>
      <c r="D144" s="8">
        <v>1995000</v>
      </c>
      <c r="E144" s="8">
        <v>659633.10000000009</v>
      </c>
      <c r="F144" s="8">
        <v>29391476.736363638</v>
      </c>
    </row>
    <row r="145" spans="1:6" x14ac:dyDescent="0.3">
      <c r="A145" s="33">
        <v>3</v>
      </c>
      <c r="B145" s="8">
        <v>140530.30303030298</v>
      </c>
      <c r="C145" s="8">
        <v>30558955</v>
      </c>
      <c r="D145" s="8">
        <v>1925000</v>
      </c>
      <c r="E145" s="8">
        <v>555895.19999999972</v>
      </c>
      <c r="F145" s="8">
        <v>33180380.503030304</v>
      </c>
    </row>
    <row r="146" spans="1:6" x14ac:dyDescent="0.3">
      <c r="A146" s="33">
        <v>4</v>
      </c>
      <c r="B146" s="8">
        <v>127272.72727272729</v>
      </c>
      <c r="C146" s="8">
        <v>20813135</v>
      </c>
      <c r="D146" s="8">
        <v>1960000</v>
      </c>
      <c r="E146" s="8">
        <v>583332.75</v>
      </c>
      <c r="F146" s="8">
        <v>23483740.477272727</v>
      </c>
    </row>
    <row r="147" spans="1:6" x14ac:dyDescent="0.3">
      <c r="A147" s="33">
        <v>5</v>
      </c>
      <c r="B147" s="8">
        <v>137878.78787878784</v>
      </c>
      <c r="C147" s="8">
        <v>13930700</v>
      </c>
      <c r="D147" s="8">
        <v>2030000</v>
      </c>
      <c r="E147" s="8">
        <v>598701.59999999963</v>
      </c>
      <c r="F147" s="8">
        <v>16697280.387878787</v>
      </c>
    </row>
    <row r="148" spans="1:6" x14ac:dyDescent="0.3">
      <c r="A148" s="33">
        <v>6</v>
      </c>
      <c r="B148" s="8">
        <v>217424.2424242422</v>
      </c>
      <c r="C148" s="8">
        <v>27762315</v>
      </c>
      <c r="D148" s="8">
        <v>2100000</v>
      </c>
      <c r="E148" s="8">
        <v>451701.59999999986</v>
      </c>
      <c r="F148" s="8">
        <v>30531440.842424244</v>
      </c>
    </row>
    <row r="149" spans="1:6" x14ac:dyDescent="0.3">
      <c r="A149" s="33">
        <v>7</v>
      </c>
      <c r="B149" s="8">
        <v>225378.78787878784</v>
      </c>
      <c r="C149" s="8">
        <v>21147770</v>
      </c>
      <c r="D149" s="8">
        <v>2170000</v>
      </c>
      <c r="E149" s="8">
        <v>518072.09999999986</v>
      </c>
      <c r="F149" s="8">
        <v>24061220.88787879</v>
      </c>
    </row>
    <row r="150" spans="1:6" x14ac:dyDescent="0.3">
      <c r="A150" s="33">
        <v>8</v>
      </c>
      <c r="B150" s="8">
        <v>212121.21212121216</v>
      </c>
      <c r="C150" s="8">
        <v>25395370</v>
      </c>
      <c r="D150" s="8">
        <v>2135000</v>
      </c>
      <c r="E150" s="8">
        <v>531133.04999999981</v>
      </c>
      <c r="F150" s="8">
        <v>28273624.262121212</v>
      </c>
    </row>
    <row r="151" spans="1:6" x14ac:dyDescent="0.3">
      <c r="A151" s="33">
        <v>9</v>
      </c>
      <c r="B151" s="8">
        <v>148484.84848484863</v>
      </c>
      <c r="C151" s="8">
        <v>23658320</v>
      </c>
      <c r="D151" s="8">
        <v>2065000</v>
      </c>
      <c r="E151" s="8">
        <v>538100.84999999986</v>
      </c>
      <c r="F151" s="8">
        <v>26409905.698484849</v>
      </c>
    </row>
    <row r="152" spans="1:6" x14ac:dyDescent="0.3">
      <c r="A152" s="33">
        <v>10</v>
      </c>
      <c r="B152" s="8">
        <v>135227.27272727271</v>
      </c>
      <c r="C152" s="8">
        <v>30284730</v>
      </c>
      <c r="D152" s="8">
        <v>2030000</v>
      </c>
      <c r="E152" s="8">
        <v>596239.35000000009</v>
      </c>
      <c r="F152" s="8">
        <v>33046196.622727275</v>
      </c>
    </row>
    <row r="153" spans="1:6" x14ac:dyDescent="0.3">
      <c r="A153" s="33">
        <v>11</v>
      </c>
      <c r="B153" s="8">
        <v>121969.69696969679</v>
      </c>
      <c r="C153" s="8">
        <v>31626770</v>
      </c>
      <c r="D153" s="8">
        <v>1995000</v>
      </c>
      <c r="E153" s="8">
        <v>614621.69999999972</v>
      </c>
      <c r="F153" s="8">
        <v>34358361.396969698</v>
      </c>
    </row>
    <row r="154" spans="1:6" x14ac:dyDescent="0.3">
      <c r="A154" s="33">
        <v>12</v>
      </c>
      <c r="B154" s="8">
        <v>159090.90909090894</v>
      </c>
      <c r="C154" s="8">
        <v>24135125</v>
      </c>
      <c r="D154" s="8">
        <v>4200000</v>
      </c>
      <c r="E154" s="8">
        <v>585383.39999999991</v>
      </c>
      <c r="F154" s="8">
        <v>29079599.309090909</v>
      </c>
    </row>
    <row r="155" spans="1:6" x14ac:dyDescent="0.3">
      <c r="A155" s="18">
        <v>2025</v>
      </c>
      <c r="B155" s="8">
        <v>2341818.1818181816</v>
      </c>
      <c r="C155" s="8">
        <v>328925061.5</v>
      </c>
      <c r="D155" s="8">
        <v>26950000</v>
      </c>
      <c r="E155" s="8">
        <v>7378447.3839999959</v>
      </c>
      <c r="F155" s="8">
        <v>365595327.06581819</v>
      </c>
    </row>
    <row r="156" spans="1:6" x14ac:dyDescent="0.3">
      <c r="A156" s="33">
        <v>1</v>
      </c>
      <c r="B156" s="8">
        <v>243939.39393939404</v>
      </c>
      <c r="C156" s="8">
        <v>28306274.499999985</v>
      </c>
      <c r="D156" s="8">
        <v>2275000</v>
      </c>
      <c r="E156" s="8">
        <v>554999.2910000002</v>
      </c>
      <c r="F156" s="8">
        <v>31380213.184939381</v>
      </c>
    </row>
    <row r="157" spans="1:6" x14ac:dyDescent="0.3">
      <c r="A157" s="33">
        <v>2</v>
      </c>
      <c r="B157" s="8">
        <v>228693.18181818165</v>
      </c>
      <c r="C157" s="8">
        <v>29174278.000000015</v>
      </c>
      <c r="D157" s="8">
        <v>2170000</v>
      </c>
      <c r="E157" s="8">
        <v>722141.18899999978</v>
      </c>
      <c r="F157" s="8">
        <v>32295112.370818194</v>
      </c>
    </row>
    <row r="158" spans="1:6" x14ac:dyDescent="0.3">
      <c r="A158" s="33">
        <v>3</v>
      </c>
      <c r="B158" s="8">
        <v>161609.84848484863</v>
      </c>
      <c r="C158" s="8">
        <v>33684850.5</v>
      </c>
      <c r="D158" s="8">
        <v>2100000</v>
      </c>
      <c r="E158" s="8">
        <v>608572.88799999934</v>
      </c>
      <c r="F158" s="8">
        <v>36555033.236484848</v>
      </c>
    </row>
    <row r="159" spans="1:6" x14ac:dyDescent="0.3">
      <c r="A159" s="33">
        <v>4</v>
      </c>
      <c r="B159" s="8">
        <v>146363.63636363647</v>
      </c>
      <c r="C159" s="8">
        <v>19884448.5</v>
      </c>
      <c r="D159" s="8">
        <v>2170000</v>
      </c>
      <c r="E159" s="8">
        <v>638610.47249999968</v>
      </c>
      <c r="F159" s="8">
        <v>22839422.608863637</v>
      </c>
    </row>
    <row r="160" spans="1:6" x14ac:dyDescent="0.3">
      <c r="A160" s="33">
        <v>5</v>
      </c>
      <c r="B160" s="8">
        <v>158560.60606060619</v>
      </c>
      <c r="C160" s="8">
        <v>15393770.000000015</v>
      </c>
      <c r="D160" s="8">
        <v>2205000</v>
      </c>
      <c r="E160" s="8">
        <v>655435.70399999944</v>
      </c>
      <c r="F160" s="8">
        <v>18412766.31006062</v>
      </c>
    </row>
    <row r="161" spans="1:6" x14ac:dyDescent="0.3">
      <c r="A161" s="33">
        <v>6</v>
      </c>
      <c r="B161" s="8">
        <v>250037.87878787844</v>
      </c>
      <c r="C161" s="8">
        <v>30486046.500000007</v>
      </c>
      <c r="D161" s="8">
        <v>2275000</v>
      </c>
      <c r="E161" s="8">
        <v>494505.70399999968</v>
      </c>
      <c r="F161" s="8">
        <v>33505590.082787886</v>
      </c>
    </row>
    <row r="162" spans="1:6" x14ac:dyDescent="0.3">
      <c r="A162" s="33">
        <v>7</v>
      </c>
      <c r="B162" s="8">
        <v>259185.60606060596</v>
      </c>
      <c r="C162" s="8">
        <v>23192546.999999985</v>
      </c>
      <c r="D162" s="8">
        <v>2345000</v>
      </c>
      <c r="E162" s="8">
        <v>567165.59899999946</v>
      </c>
      <c r="F162" s="8">
        <v>26363898.20506059</v>
      </c>
    </row>
    <row r="163" spans="1:6" x14ac:dyDescent="0.3">
      <c r="A163" s="33">
        <v>8</v>
      </c>
      <c r="B163" s="8">
        <v>243939.39393939381</v>
      </c>
      <c r="C163" s="8">
        <v>27882407</v>
      </c>
      <c r="D163" s="8">
        <v>2310000</v>
      </c>
      <c r="E163" s="8">
        <v>581464.2294999999</v>
      </c>
      <c r="F163" s="8">
        <v>31017810.623439394</v>
      </c>
    </row>
    <row r="164" spans="1:6" x14ac:dyDescent="0.3">
      <c r="A164" s="33">
        <v>9</v>
      </c>
      <c r="B164" s="8">
        <v>170757.57575757615</v>
      </c>
      <c r="C164" s="8">
        <v>26076651.999999985</v>
      </c>
      <c r="D164" s="8">
        <v>2310000</v>
      </c>
      <c r="E164" s="8">
        <v>589092.31149999984</v>
      </c>
      <c r="F164" s="8">
        <v>29146501.887257561</v>
      </c>
    </row>
    <row r="165" spans="1:6" x14ac:dyDescent="0.3">
      <c r="A165" s="33">
        <v>10</v>
      </c>
      <c r="B165" s="8">
        <v>155511.36363636353</v>
      </c>
      <c r="C165" s="8">
        <v>33383203.000000015</v>
      </c>
      <c r="D165" s="8">
        <v>2275000</v>
      </c>
      <c r="E165" s="8">
        <v>652740.12649999978</v>
      </c>
      <c r="F165" s="8">
        <v>36466454.490136378</v>
      </c>
    </row>
    <row r="166" spans="1:6" x14ac:dyDescent="0.3">
      <c r="A166" s="33">
        <v>11</v>
      </c>
      <c r="B166" s="8">
        <v>140265.15151515137</v>
      </c>
      <c r="C166" s="8">
        <v>34876947.000000015</v>
      </c>
      <c r="D166" s="8">
        <v>2240000</v>
      </c>
      <c r="E166" s="8">
        <v>672864.42299999949</v>
      </c>
      <c r="F166" s="8">
        <v>37930076.574515164</v>
      </c>
    </row>
    <row r="167" spans="1:6" x14ac:dyDescent="0.3">
      <c r="A167" s="33">
        <v>12</v>
      </c>
      <c r="B167" s="8">
        <v>182954.54545454541</v>
      </c>
      <c r="C167" s="8">
        <v>26583637.5</v>
      </c>
      <c r="D167" s="8">
        <v>2275000</v>
      </c>
      <c r="E167" s="8">
        <v>640855.446</v>
      </c>
      <c r="F167" s="8">
        <v>29682447.491454545</v>
      </c>
    </row>
    <row r="168" spans="1:6" x14ac:dyDescent="0.3">
      <c r="A168" s="18" t="s">
        <v>44</v>
      </c>
      <c r="B168" s="8">
        <v>4378181.8181818184</v>
      </c>
      <c r="C168" s="8">
        <v>630541026.5</v>
      </c>
      <c r="D168" s="8">
        <v>53655000</v>
      </c>
      <c r="E168" s="8">
        <v>14118220.983999996</v>
      </c>
      <c r="F168" s="8">
        <v>702692429.30218196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54"/>
  <sheetViews>
    <sheetView workbookViewId="0"/>
  </sheetViews>
  <sheetFormatPr defaultRowHeight="14.4" x14ac:dyDescent="0.3"/>
  <cols>
    <col min="1" max="1" width="7.44140625" customWidth="1"/>
    <col min="2" max="2" width="8.88671875" style="1"/>
    <col min="3" max="3" width="9.109375" style="1" bestFit="1" customWidth="1"/>
    <col min="4" max="4" width="12.88671875" customWidth="1"/>
    <col min="5" max="5" width="12.21875" customWidth="1"/>
    <col min="6" max="8" width="14.6640625" style="5" bestFit="1" customWidth="1"/>
    <col min="9" max="9" width="14" style="5" bestFit="1" customWidth="1"/>
    <col min="10" max="10" width="11.88671875" style="7" customWidth="1"/>
  </cols>
  <sheetData>
    <row r="1" spans="1:15" x14ac:dyDescent="0.3">
      <c r="A1" t="s">
        <v>0</v>
      </c>
      <c r="B1" s="1" t="s">
        <v>1</v>
      </c>
      <c r="C1" s="2" t="s">
        <v>2</v>
      </c>
      <c r="D1" s="3" t="s">
        <v>3</v>
      </c>
      <c r="E1" s="3" t="s">
        <v>4</v>
      </c>
      <c r="F1" s="4" t="s">
        <v>5</v>
      </c>
      <c r="G1" s="5" t="s">
        <v>6</v>
      </c>
      <c r="H1" s="4" t="s">
        <v>7</v>
      </c>
      <c r="I1" s="6" t="s">
        <v>8</v>
      </c>
      <c r="J1" s="7" t="s">
        <v>9</v>
      </c>
    </row>
    <row r="2" spans="1:15" x14ac:dyDescent="0.3">
      <c r="A2">
        <v>2024</v>
      </c>
      <c r="B2" s="1" t="s">
        <v>10</v>
      </c>
      <c r="C2">
        <f t="shared" ref="C2:C65" si="0">VLOOKUP(B2,$B$134:$C$145,2,FALSE)</f>
        <v>1</v>
      </c>
      <c r="D2" t="s">
        <v>11</v>
      </c>
      <c r="E2" t="s">
        <v>12</v>
      </c>
      <c r="F2" s="8">
        <v>2414090</v>
      </c>
      <c r="G2" s="8">
        <v>1907131.0999999999</v>
      </c>
      <c r="H2" s="8">
        <v>456263.01000000007</v>
      </c>
      <c r="I2" s="9">
        <f>Tabela1[[#This Row],[Revenue]]-Tabela1[[#This Row],[Cost]]</f>
        <v>506958.90000000014</v>
      </c>
      <c r="J2">
        <v>1960</v>
      </c>
    </row>
    <row r="3" spans="1:15" x14ac:dyDescent="0.3">
      <c r="A3">
        <v>2024</v>
      </c>
      <c r="B3" s="1" t="s">
        <v>10</v>
      </c>
      <c r="C3">
        <f t="shared" si="0"/>
        <v>1</v>
      </c>
      <c r="D3" t="s">
        <v>13</v>
      </c>
      <c r="E3" t="s">
        <v>14</v>
      </c>
      <c r="F3" s="8">
        <v>1516666.6666666667</v>
      </c>
      <c r="G3" s="8">
        <v>1304545.4545454546</v>
      </c>
      <c r="H3" s="8">
        <v>190909.09090909103</v>
      </c>
      <c r="I3" s="10">
        <f>Tabela1[[#This Row],[Revenue]]-Tabela1[[#This Row],[Cost]]</f>
        <v>212121.21212121216</v>
      </c>
      <c r="J3">
        <v>2100</v>
      </c>
      <c r="M3" s="3" t="s">
        <v>15</v>
      </c>
      <c r="N3" s="3"/>
      <c r="O3" s="3"/>
    </row>
    <row r="4" spans="1:15" x14ac:dyDescent="0.3">
      <c r="A4">
        <v>2024</v>
      </c>
      <c r="B4" s="1" t="s">
        <v>10</v>
      </c>
      <c r="C4">
        <f t="shared" si="0"/>
        <v>1</v>
      </c>
      <c r="D4" t="s">
        <v>16</v>
      </c>
      <c r="E4" t="s">
        <v>16</v>
      </c>
      <c r="F4" s="8">
        <v>10500000</v>
      </c>
      <c r="G4" s="8">
        <v>8400000</v>
      </c>
      <c r="H4" s="8">
        <v>1890000</v>
      </c>
      <c r="I4" s="10">
        <f>Tabela1[[#This Row],[Revenue]]-Tabela1[[#This Row],[Cost]]</f>
        <v>2100000</v>
      </c>
      <c r="J4">
        <v>18200</v>
      </c>
      <c r="M4" s="11" t="s">
        <v>17</v>
      </c>
      <c r="N4" s="11"/>
      <c r="O4" s="11"/>
    </row>
    <row r="5" spans="1:15" x14ac:dyDescent="0.3">
      <c r="A5">
        <v>2024</v>
      </c>
      <c r="B5" s="1" t="s">
        <v>10</v>
      </c>
      <c r="C5">
        <f t="shared" si="0"/>
        <v>1</v>
      </c>
      <c r="D5" t="s">
        <v>18</v>
      </c>
      <c r="E5" t="s">
        <v>19</v>
      </c>
      <c r="F5" s="8">
        <v>18200000</v>
      </c>
      <c r="G5" s="8">
        <v>14350000</v>
      </c>
      <c r="H5" s="8">
        <v>3465000</v>
      </c>
      <c r="I5" s="10">
        <f>Tabela1[[#This Row],[Revenue]]-Tabela1[[#This Row],[Cost]]</f>
        <v>3850000</v>
      </c>
      <c r="J5">
        <v>28700</v>
      </c>
      <c r="M5" t="s">
        <v>66</v>
      </c>
    </row>
    <row r="6" spans="1:15" x14ac:dyDescent="0.3">
      <c r="A6">
        <v>2024</v>
      </c>
      <c r="B6" s="1" t="s">
        <v>10</v>
      </c>
      <c r="C6">
        <f t="shared" si="0"/>
        <v>1</v>
      </c>
      <c r="D6" t="s">
        <v>18</v>
      </c>
      <c r="E6" t="s">
        <v>20</v>
      </c>
      <c r="F6" s="8">
        <v>87524500</v>
      </c>
      <c r="G6" s="8">
        <v>65609705</v>
      </c>
      <c r="H6" s="8">
        <v>19723315.5</v>
      </c>
      <c r="I6" s="9">
        <f>Tabela1[[#This Row],[Revenue]]-Tabela1[[#This Row],[Cost]]</f>
        <v>21914795</v>
      </c>
      <c r="J6">
        <v>43435</v>
      </c>
    </row>
    <row r="7" spans="1:15" x14ac:dyDescent="0.3">
      <c r="A7">
        <v>2024</v>
      </c>
      <c r="B7" s="1" t="s">
        <v>21</v>
      </c>
      <c r="C7">
        <f t="shared" si="0"/>
        <v>2</v>
      </c>
      <c r="D7" t="s">
        <v>13</v>
      </c>
      <c r="E7" t="s">
        <v>14</v>
      </c>
      <c r="F7" s="8">
        <v>1487500</v>
      </c>
      <c r="G7" s="8">
        <v>1288636.3636363635</v>
      </c>
      <c r="H7" s="8">
        <v>178977.27272727279</v>
      </c>
      <c r="I7" s="10">
        <f>Tabela1[[#This Row],[Revenue]]-Tabela1[[#This Row],[Cost]]</f>
        <v>198863.63636363647</v>
      </c>
      <c r="J7">
        <v>1925</v>
      </c>
    </row>
    <row r="8" spans="1:15" x14ac:dyDescent="0.3">
      <c r="A8">
        <v>2024</v>
      </c>
      <c r="B8" s="1" t="s">
        <v>21</v>
      </c>
      <c r="C8">
        <f t="shared" si="0"/>
        <v>2</v>
      </c>
      <c r="D8" t="s">
        <v>11</v>
      </c>
      <c r="E8" t="s">
        <v>12</v>
      </c>
      <c r="F8" s="8">
        <v>3141110</v>
      </c>
      <c r="G8" s="8">
        <v>2481476.9</v>
      </c>
      <c r="H8" s="8">
        <v>593669.79</v>
      </c>
      <c r="I8" s="9">
        <f>Tabela1[[#This Row],[Revenue]]-Tabela1[[#This Row],[Cost]]</f>
        <v>659633.10000000009</v>
      </c>
      <c r="J8">
        <v>2695</v>
      </c>
    </row>
    <row r="9" spans="1:15" x14ac:dyDescent="0.3">
      <c r="A9">
        <v>2024</v>
      </c>
      <c r="B9" s="1" t="s">
        <v>21</v>
      </c>
      <c r="C9">
        <f t="shared" si="0"/>
        <v>2</v>
      </c>
      <c r="D9" t="s">
        <v>16</v>
      </c>
      <c r="E9" t="s">
        <v>16</v>
      </c>
      <c r="F9" s="8">
        <v>10325000</v>
      </c>
      <c r="G9" s="8">
        <v>8330000</v>
      </c>
      <c r="H9" s="8">
        <v>1795500</v>
      </c>
      <c r="I9" s="10">
        <f>Tabela1[[#This Row],[Revenue]]-Tabela1[[#This Row],[Cost]]</f>
        <v>1995000</v>
      </c>
      <c r="J9">
        <v>17850</v>
      </c>
    </row>
    <row r="10" spans="1:15" x14ac:dyDescent="0.3">
      <c r="A10">
        <v>2024</v>
      </c>
      <c r="B10" s="1" t="s">
        <v>21</v>
      </c>
      <c r="C10">
        <f t="shared" si="0"/>
        <v>2</v>
      </c>
      <c r="D10" t="s">
        <v>18</v>
      </c>
      <c r="E10" t="s">
        <v>19</v>
      </c>
      <c r="F10" s="8">
        <v>17850000</v>
      </c>
      <c r="G10" s="8">
        <v>14175000</v>
      </c>
      <c r="H10" s="8">
        <v>3307500</v>
      </c>
      <c r="I10" s="10">
        <f>Tabela1[[#This Row],[Revenue]]-Tabela1[[#This Row],[Cost]]</f>
        <v>3675000</v>
      </c>
      <c r="J10">
        <v>28000</v>
      </c>
    </row>
    <row r="11" spans="1:15" x14ac:dyDescent="0.3">
      <c r="A11">
        <v>2024</v>
      </c>
      <c r="B11" s="1" t="s">
        <v>21</v>
      </c>
      <c r="C11">
        <f t="shared" si="0"/>
        <v>2</v>
      </c>
      <c r="D11" t="s">
        <v>18</v>
      </c>
      <c r="E11" t="s">
        <v>20</v>
      </c>
      <c r="F11" s="8">
        <v>92423800</v>
      </c>
      <c r="G11" s="8">
        <v>69560820</v>
      </c>
      <c r="H11" s="8">
        <v>20576682.000000004</v>
      </c>
      <c r="I11" s="9">
        <f>Tabela1[[#This Row],[Revenue]]-Tabela1[[#This Row],[Cost]]</f>
        <v>22862980</v>
      </c>
      <c r="J11">
        <v>47320</v>
      </c>
    </row>
    <row r="12" spans="1:15" x14ac:dyDescent="0.3">
      <c r="A12">
        <v>2024</v>
      </c>
      <c r="B12" s="1" t="s">
        <v>22</v>
      </c>
      <c r="C12">
        <f t="shared" si="0"/>
        <v>3</v>
      </c>
      <c r="D12" t="s">
        <v>13</v>
      </c>
      <c r="E12" t="s">
        <v>14</v>
      </c>
      <c r="F12" s="8">
        <v>1254166.6666666667</v>
      </c>
      <c r="G12" s="8">
        <v>1113636.3636363638</v>
      </c>
      <c r="H12" s="8">
        <v>126477.27272727275</v>
      </c>
      <c r="I12" s="10">
        <f>Tabela1[[#This Row],[Revenue]]-Tabela1[[#This Row],[Cost]]</f>
        <v>140530.30303030298</v>
      </c>
      <c r="J12">
        <v>1645</v>
      </c>
    </row>
    <row r="13" spans="1:15" x14ac:dyDescent="0.3">
      <c r="A13">
        <v>2024</v>
      </c>
      <c r="B13" s="1" t="s">
        <v>22</v>
      </c>
      <c r="C13">
        <f t="shared" si="0"/>
        <v>3</v>
      </c>
      <c r="D13" t="s">
        <v>11</v>
      </c>
      <c r="E13" t="s">
        <v>12</v>
      </c>
      <c r="F13" s="8">
        <v>2647120</v>
      </c>
      <c r="G13" s="8">
        <v>2091224.8000000003</v>
      </c>
      <c r="H13" s="8">
        <v>500305.67999999982</v>
      </c>
      <c r="I13" s="9">
        <f>Tabela1[[#This Row],[Revenue]]-Tabela1[[#This Row],[Cost]]</f>
        <v>555895.19999999972</v>
      </c>
      <c r="J13">
        <v>2415</v>
      </c>
    </row>
    <row r="14" spans="1:15" x14ac:dyDescent="0.3">
      <c r="A14">
        <v>2024</v>
      </c>
      <c r="B14" s="1" t="s">
        <v>22</v>
      </c>
      <c r="C14">
        <f t="shared" si="0"/>
        <v>3</v>
      </c>
      <c r="D14" t="s">
        <v>16</v>
      </c>
      <c r="E14" t="s">
        <v>16</v>
      </c>
      <c r="F14" s="8">
        <v>10150000</v>
      </c>
      <c r="G14" s="8">
        <v>8225000</v>
      </c>
      <c r="H14" s="8">
        <v>1732500</v>
      </c>
      <c r="I14" s="10">
        <f>Tabela1[[#This Row],[Revenue]]-Tabela1[[#This Row],[Cost]]</f>
        <v>1925000</v>
      </c>
      <c r="J14">
        <v>17500</v>
      </c>
    </row>
    <row r="15" spans="1:15" x14ac:dyDescent="0.3">
      <c r="A15">
        <v>2024</v>
      </c>
      <c r="B15" s="1" t="s">
        <v>22</v>
      </c>
      <c r="C15">
        <f t="shared" si="0"/>
        <v>3</v>
      </c>
      <c r="D15" t="s">
        <v>18</v>
      </c>
      <c r="E15" t="s">
        <v>19</v>
      </c>
      <c r="F15" s="8">
        <v>15050000</v>
      </c>
      <c r="G15" s="8">
        <v>12250000</v>
      </c>
      <c r="H15" s="8">
        <v>2520000</v>
      </c>
      <c r="I15" s="10">
        <f>Tabela1[[#This Row],[Revenue]]-Tabela1[[#This Row],[Cost]]</f>
        <v>2800000</v>
      </c>
      <c r="J15">
        <v>23450</v>
      </c>
    </row>
    <row r="16" spans="1:15" x14ac:dyDescent="0.3">
      <c r="A16">
        <v>2024</v>
      </c>
      <c r="B16" s="1" t="s">
        <v>22</v>
      </c>
      <c r="C16">
        <f t="shared" si="0"/>
        <v>3</v>
      </c>
      <c r="D16" t="s">
        <v>18</v>
      </c>
      <c r="E16" t="s">
        <v>20</v>
      </c>
      <c r="F16" s="8">
        <v>94456005</v>
      </c>
      <c r="G16" s="8">
        <v>66697050</v>
      </c>
      <c r="H16" s="8">
        <v>24983059.500000004</v>
      </c>
      <c r="I16" s="9">
        <f>Tabela1[[#This Row],[Revenue]]-Tabela1[[#This Row],[Cost]]</f>
        <v>27758955</v>
      </c>
      <c r="J16">
        <v>47810</v>
      </c>
    </row>
    <row r="17" spans="1:10" x14ac:dyDescent="0.3">
      <c r="A17">
        <v>2024</v>
      </c>
      <c r="B17" s="1" t="s">
        <v>23</v>
      </c>
      <c r="C17">
        <f t="shared" si="0"/>
        <v>4</v>
      </c>
      <c r="D17" t="s">
        <v>13</v>
      </c>
      <c r="E17" t="s">
        <v>14</v>
      </c>
      <c r="F17" s="8">
        <v>1225000</v>
      </c>
      <c r="G17" s="8">
        <v>1097727.2727272727</v>
      </c>
      <c r="H17" s="8">
        <v>114545.45454545454</v>
      </c>
      <c r="I17" s="10">
        <f>Tabela1[[#This Row],[Revenue]]-Tabela1[[#This Row],[Cost]]</f>
        <v>127272.72727272729</v>
      </c>
      <c r="J17">
        <v>2065</v>
      </c>
    </row>
    <row r="18" spans="1:10" x14ac:dyDescent="0.3">
      <c r="A18">
        <v>2024</v>
      </c>
      <c r="B18" s="1" t="s">
        <v>23</v>
      </c>
      <c r="C18">
        <f t="shared" si="0"/>
        <v>4</v>
      </c>
      <c r="D18" t="s">
        <v>11</v>
      </c>
      <c r="E18" t="s">
        <v>12</v>
      </c>
      <c r="F18" s="8">
        <v>2777775</v>
      </c>
      <c r="G18" s="8">
        <v>2194442.25</v>
      </c>
      <c r="H18" s="8">
        <v>524999.47499999986</v>
      </c>
      <c r="I18" s="9">
        <f>Tabela1[[#This Row],[Revenue]]-Tabela1[[#This Row],[Cost]]</f>
        <v>583332.75</v>
      </c>
      <c r="J18">
        <v>2485</v>
      </c>
    </row>
    <row r="19" spans="1:10" x14ac:dyDescent="0.3">
      <c r="A19">
        <v>2024</v>
      </c>
      <c r="B19" s="1" t="s">
        <v>23</v>
      </c>
      <c r="C19">
        <f t="shared" si="0"/>
        <v>4</v>
      </c>
      <c r="D19" t="s">
        <v>16</v>
      </c>
      <c r="E19" t="s">
        <v>16</v>
      </c>
      <c r="F19" s="8">
        <v>10220000</v>
      </c>
      <c r="G19" s="8">
        <v>8260000</v>
      </c>
      <c r="H19" s="8">
        <v>1764000</v>
      </c>
      <c r="I19" s="10">
        <f>Tabela1[[#This Row],[Revenue]]-Tabela1[[#This Row],[Cost]]</f>
        <v>1960000</v>
      </c>
      <c r="J19">
        <v>17675</v>
      </c>
    </row>
    <row r="20" spans="1:10" x14ac:dyDescent="0.3">
      <c r="A20">
        <v>2024</v>
      </c>
      <c r="B20" s="1" t="s">
        <v>23</v>
      </c>
      <c r="C20">
        <f t="shared" si="0"/>
        <v>4</v>
      </c>
      <c r="D20" t="s">
        <v>18</v>
      </c>
      <c r="E20" t="s">
        <v>19</v>
      </c>
      <c r="F20" s="12">
        <v>15050000</v>
      </c>
      <c r="G20" s="8">
        <v>12075000</v>
      </c>
      <c r="H20" s="8">
        <v>2362500</v>
      </c>
      <c r="I20" s="10">
        <f>Tabela1[[#This Row],[Revenue]]-Tabela1[[#This Row],[Cost]]</f>
        <v>2975000</v>
      </c>
      <c r="J20">
        <v>23100</v>
      </c>
    </row>
    <row r="21" spans="1:10" x14ac:dyDescent="0.3">
      <c r="A21">
        <v>2024</v>
      </c>
      <c r="B21" s="1" t="s">
        <v>23</v>
      </c>
      <c r="C21">
        <f t="shared" si="0"/>
        <v>4</v>
      </c>
      <c r="D21" t="s">
        <v>18</v>
      </c>
      <c r="E21" t="s">
        <v>19</v>
      </c>
      <c r="F21" s="8">
        <v>14700000</v>
      </c>
      <c r="G21" s="8">
        <v>12075000</v>
      </c>
      <c r="H21" s="8">
        <v>2362500</v>
      </c>
      <c r="I21" s="10">
        <f>Tabela1[[#This Row],[Revenue]]-Tabela1[[#This Row],[Cost]]</f>
        <v>2625000</v>
      </c>
      <c r="J21">
        <v>23100</v>
      </c>
    </row>
    <row r="22" spans="1:10" x14ac:dyDescent="0.3">
      <c r="A22">
        <v>2024</v>
      </c>
      <c r="B22" s="1" t="s">
        <v>23</v>
      </c>
      <c r="C22">
        <f t="shared" si="0"/>
        <v>4</v>
      </c>
      <c r="D22" t="s">
        <v>18</v>
      </c>
      <c r="E22" t="s">
        <v>20</v>
      </c>
      <c r="F22" s="8">
        <v>84528885</v>
      </c>
      <c r="G22" s="8">
        <v>69315750</v>
      </c>
      <c r="H22" s="8">
        <v>13691821.5</v>
      </c>
      <c r="I22" s="9">
        <f>Tabela1[[#This Row],[Revenue]]-Tabela1[[#This Row],[Cost]]</f>
        <v>15213135</v>
      </c>
      <c r="J22">
        <v>42000</v>
      </c>
    </row>
    <row r="23" spans="1:10" x14ac:dyDescent="0.3">
      <c r="A23">
        <v>2024</v>
      </c>
      <c r="B23" s="1" t="s">
        <v>24</v>
      </c>
      <c r="C23">
        <f t="shared" si="0"/>
        <v>5</v>
      </c>
      <c r="D23" t="s">
        <v>13</v>
      </c>
      <c r="E23" t="s">
        <v>14</v>
      </c>
      <c r="F23" s="8">
        <v>1283333.3333333333</v>
      </c>
      <c r="G23" s="8">
        <v>1145454.5454545454</v>
      </c>
      <c r="H23" s="8">
        <v>124090.909090909</v>
      </c>
      <c r="I23" s="10">
        <f>Tabela1[[#This Row],[Revenue]]-Tabela1[[#This Row],[Cost]]</f>
        <v>137878.78787878784</v>
      </c>
      <c r="J23">
        <v>1785</v>
      </c>
    </row>
    <row r="24" spans="1:10" x14ac:dyDescent="0.3">
      <c r="A24">
        <v>2024</v>
      </c>
      <c r="B24" s="1" t="s">
        <v>24</v>
      </c>
      <c r="C24">
        <f t="shared" si="0"/>
        <v>5</v>
      </c>
      <c r="D24" t="s">
        <v>11</v>
      </c>
      <c r="E24" t="s">
        <v>12</v>
      </c>
      <c r="F24" s="8">
        <v>2850960</v>
      </c>
      <c r="G24" s="8">
        <v>2252258.4000000004</v>
      </c>
      <c r="H24" s="8">
        <v>538831.43999999983</v>
      </c>
      <c r="I24" s="9">
        <f>Tabela1[[#This Row],[Revenue]]-Tabela1[[#This Row],[Cost]]</f>
        <v>598701.59999999963</v>
      </c>
      <c r="J24">
        <v>2555</v>
      </c>
    </row>
    <row r="25" spans="1:10" x14ac:dyDescent="0.3">
      <c r="A25">
        <v>2024</v>
      </c>
      <c r="B25" s="1" t="s">
        <v>24</v>
      </c>
      <c r="C25">
        <f t="shared" si="0"/>
        <v>5</v>
      </c>
      <c r="D25" t="s">
        <v>16</v>
      </c>
      <c r="E25" t="s">
        <v>16</v>
      </c>
      <c r="F25" s="8">
        <v>10430000</v>
      </c>
      <c r="G25" s="8">
        <v>8400000</v>
      </c>
      <c r="H25" s="8">
        <v>1827000</v>
      </c>
      <c r="I25" s="10">
        <f>Tabela1[[#This Row],[Revenue]]-Tabela1[[#This Row],[Cost]]</f>
        <v>2030000</v>
      </c>
      <c r="J25">
        <v>18025</v>
      </c>
    </row>
    <row r="26" spans="1:10" x14ac:dyDescent="0.3">
      <c r="A26">
        <v>2024</v>
      </c>
      <c r="B26" s="1" t="s">
        <v>24</v>
      </c>
      <c r="C26">
        <f t="shared" si="0"/>
        <v>5</v>
      </c>
      <c r="D26" t="s">
        <v>18</v>
      </c>
      <c r="E26" t="s">
        <v>19</v>
      </c>
      <c r="F26" s="8">
        <v>15400000</v>
      </c>
      <c r="G26" s="8">
        <v>12600000</v>
      </c>
      <c r="H26" s="8">
        <v>2520000</v>
      </c>
      <c r="I26" s="10">
        <f>Tabela1[[#This Row],[Revenue]]-Tabela1[[#This Row],[Cost]]</f>
        <v>2800000</v>
      </c>
      <c r="J26">
        <v>24150</v>
      </c>
    </row>
    <row r="27" spans="1:10" x14ac:dyDescent="0.3">
      <c r="A27">
        <v>2024</v>
      </c>
      <c r="B27" s="1" t="s">
        <v>24</v>
      </c>
      <c r="C27">
        <f t="shared" si="0"/>
        <v>5</v>
      </c>
      <c r="D27" t="s">
        <v>18</v>
      </c>
      <c r="E27" t="s">
        <v>20</v>
      </c>
      <c r="F27" s="8">
        <v>73590615</v>
      </c>
      <c r="G27" s="8">
        <v>62459915</v>
      </c>
      <c r="H27" s="8">
        <v>10017630</v>
      </c>
      <c r="I27" s="9">
        <f>Tabela1[[#This Row],[Revenue]]-Tabela1[[#This Row],[Cost]]</f>
        <v>11130700</v>
      </c>
      <c r="J27">
        <v>35840</v>
      </c>
    </row>
    <row r="28" spans="1:10" x14ac:dyDescent="0.3">
      <c r="A28">
        <v>2024</v>
      </c>
      <c r="B28" s="1" t="s">
        <v>25</v>
      </c>
      <c r="C28">
        <f t="shared" si="0"/>
        <v>6</v>
      </c>
      <c r="D28" t="s">
        <v>11</v>
      </c>
      <c r="E28" t="s">
        <v>12</v>
      </c>
      <c r="F28" s="8">
        <v>2150960</v>
      </c>
      <c r="G28" s="8">
        <v>1699258.4000000001</v>
      </c>
      <c r="H28" s="8">
        <v>406531.43999999983</v>
      </c>
      <c r="I28" s="9">
        <f>Tabela1[[#This Row],[Revenue]]-Tabela1[[#This Row],[Cost]]</f>
        <v>451701.59999999986</v>
      </c>
      <c r="J28">
        <v>1925</v>
      </c>
    </row>
    <row r="29" spans="1:10" x14ac:dyDescent="0.3">
      <c r="A29">
        <v>2024</v>
      </c>
      <c r="B29" s="1" t="s">
        <v>25</v>
      </c>
      <c r="C29">
        <f t="shared" si="0"/>
        <v>6</v>
      </c>
      <c r="D29" t="s">
        <v>13</v>
      </c>
      <c r="E29" t="s">
        <v>14</v>
      </c>
      <c r="F29" s="8">
        <v>1633333.3333333333</v>
      </c>
      <c r="G29" s="8">
        <v>1415909.0909090911</v>
      </c>
      <c r="H29" s="8">
        <v>195681.81818181806</v>
      </c>
      <c r="I29" s="10">
        <f>Tabela1[[#This Row],[Revenue]]-Tabela1[[#This Row],[Cost]]</f>
        <v>217424.2424242422</v>
      </c>
      <c r="J29">
        <v>2205</v>
      </c>
    </row>
    <row r="30" spans="1:10" x14ac:dyDescent="0.3">
      <c r="A30">
        <v>2024</v>
      </c>
      <c r="B30" s="1" t="s">
        <v>25</v>
      </c>
      <c r="C30">
        <f t="shared" si="0"/>
        <v>6</v>
      </c>
      <c r="D30" t="s">
        <v>16</v>
      </c>
      <c r="E30" t="s">
        <v>16</v>
      </c>
      <c r="F30" s="8">
        <v>10675000</v>
      </c>
      <c r="G30" s="8">
        <v>8575000</v>
      </c>
      <c r="H30" s="8">
        <v>1890000</v>
      </c>
      <c r="I30" s="10">
        <f>Tabela1[[#This Row],[Revenue]]-Tabela1[[#This Row],[Cost]]</f>
        <v>2100000</v>
      </c>
      <c r="J30">
        <v>18375</v>
      </c>
    </row>
    <row r="31" spans="1:10" x14ac:dyDescent="0.3">
      <c r="A31">
        <v>2024</v>
      </c>
      <c r="B31" s="1" t="s">
        <v>25</v>
      </c>
      <c r="C31">
        <f t="shared" si="0"/>
        <v>6</v>
      </c>
      <c r="D31" t="s">
        <v>18</v>
      </c>
      <c r="E31" t="s">
        <v>19</v>
      </c>
      <c r="F31" s="8">
        <v>19600000</v>
      </c>
      <c r="G31" s="8">
        <v>15575000</v>
      </c>
      <c r="H31" s="8">
        <v>3622500</v>
      </c>
      <c r="I31" s="10">
        <f>Tabela1[[#This Row],[Revenue]]-Tabela1[[#This Row],[Cost]]</f>
        <v>4025000</v>
      </c>
      <c r="J31">
        <v>30800</v>
      </c>
    </row>
    <row r="32" spans="1:10" x14ac:dyDescent="0.3">
      <c r="A32">
        <v>2024</v>
      </c>
      <c r="B32" s="1" t="s">
        <v>25</v>
      </c>
      <c r="C32">
        <f t="shared" si="0"/>
        <v>6</v>
      </c>
      <c r="D32" t="s">
        <v>18</v>
      </c>
      <c r="E32" t="s">
        <v>20</v>
      </c>
      <c r="F32" s="8">
        <v>81749430</v>
      </c>
      <c r="G32" s="8">
        <v>58012115</v>
      </c>
      <c r="H32" s="8">
        <v>21363583.5</v>
      </c>
      <c r="I32" s="9">
        <f>Tabela1[[#This Row],[Revenue]]-Tabela1[[#This Row],[Cost]]</f>
        <v>23737315</v>
      </c>
      <c r="J32">
        <v>43960</v>
      </c>
    </row>
    <row r="33" spans="1:10" x14ac:dyDescent="0.3">
      <c r="A33">
        <v>2024</v>
      </c>
      <c r="B33" s="1" t="s">
        <v>26</v>
      </c>
      <c r="C33">
        <f t="shared" si="0"/>
        <v>7</v>
      </c>
      <c r="D33" t="s">
        <v>11</v>
      </c>
      <c r="E33" t="s">
        <v>12</v>
      </c>
      <c r="F33" s="8">
        <v>2467010</v>
      </c>
      <c r="G33" s="8">
        <v>1948937.9000000001</v>
      </c>
      <c r="H33" s="8">
        <v>466264.8899999999</v>
      </c>
      <c r="I33" s="9">
        <f>Tabela1[[#This Row],[Revenue]]-Tabela1[[#This Row],[Cost]]</f>
        <v>518072.09999999986</v>
      </c>
      <c r="J33">
        <v>2170</v>
      </c>
    </row>
    <row r="34" spans="1:10" x14ac:dyDescent="0.3">
      <c r="A34">
        <v>2024</v>
      </c>
      <c r="B34" s="1" t="s">
        <v>26</v>
      </c>
      <c r="C34">
        <f t="shared" si="0"/>
        <v>7</v>
      </c>
      <c r="D34" t="s">
        <v>13</v>
      </c>
      <c r="E34" t="s">
        <v>14</v>
      </c>
      <c r="F34" s="8">
        <v>1720833.3333333333</v>
      </c>
      <c r="G34" s="8">
        <v>1495454.5454545454</v>
      </c>
      <c r="H34" s="8">
        <v>202840.909090909</v>
      </c>
      <c r="I34" s="10">
        <f>Tabela1[[#This Row],[Revenue]]-Tabela1[[#This Row],[Cost]]</f>
        <v>225378.78787878784</v>
      </c>
      <c r="J34">
        <v>2310</v>
      </c>
    </row>
    <row r="35" spans="1:10" x14ac:dyDescent="0.3">
      <c r="A35">
        <v>2024</v>
      </c>
      <c r="B35" s="1" t="s">
        <v>26</v>
      </c>
      <c r="C35">
        <f t="shared" si="0"/>
        <v>7</v>
      </c>
      <c r="D35" t="s">
        <v>16</v>
      </c>
      <c r="E35" t="s">
        <v>16</v>
      </c>
      <c r="F35" s="8">
        <v>10850000</v>
      </c>
      <c r="G35" s="8">
        <v>8680000</v>
      </c>
      <c r="H35" s="8">
        <v>1953000</v>
      </c>
      <c r="I35" s="10">
        <f>Tabela1[[#This Row],[Revenue]]-Tabela1[[#This Row],[Cost]]</f>
        <v>2170000</v>
      </c>
      <c r="J35">
        <v>18550</v>
      </c>
    </row>
    <row r="36" spans="1:10" x14ac:dyDescent="0.3">
      <c r="A36">
        <v>2024</v>
      </c>
      <c r="B36" s="1" t="s">
        <v>26</v>
      </c>
      <c r="C36">
        <f t="shared" si="0"/>
        <v>7</v>
      </c>
      <c r="D36" t="s">
        <v>18</v>
      </c>
      <c r="E36" t="s">
        <v>19</v>
      </c>
      <c r="F36" s="8">
        <v>20650000</v>
      </c>
      <c r="G36" s="8">
        <v>16450000</v>
      </c>
      <c r="H36" s="8">
        <v>3780000</v>
      </c>
      <c r="I36" s="10">
        <f>Tabela1[[#This Row],[Revenue]]-Tabela1[[#This Row],[Cost]]</f>
        <v>4200000</v>
      </c>
      <c r="J36">
        <v>32200</v>
      </c>
    </row>
    <row r="37" spans="1:10" x14ac:dyDescent="0.3">
      <c r="A37">
        <v>2024</v>
      </c>
      <c r="B37" s="1" t="s">
        <v>26</v>
      </c>
      <c r="C37">
        <f t="shared" si="0"/>
        <v>7</v>
      </c>
      <c r="D37" t="s">
        <v>18</v>
      </c>
      <c r="E37" t="s">
        <v>20</v>
      </c>
      <c r="F37" s="8">
        <v>82556075</v>
      </c>
      <c r="G37" s="8">
        <v>65608305</v>
      </c>
      <c r="H37" s="8">
        <v>15252993</v>
      </c>
      <c r="I37" s="9">
        <f>Tabela1[[#This Row],[Revenue]]-Tabela1[[#This Row],[Cost]]</f>
        <v>16947770</v>
      </c>
      <c r="J37">
        <v>48615</v>
      </c>
    </row>
    <row r="38" spans="1:10" x14ac:dyDescent="0.3">
      <c r="A38">
        <v>2024</v>
      </c>
      <c r="B38" s="1" t="s">
        <v>27</v>
      </c>
      <c r="C38">
        <f t="shared" si="0"/>
        <v>8</v>
      </c>
      <c r="D38" t="s">
        <v>13</v>
      </c>
      <c r="E38" t="s">
        <v>14</v>
      </c>
      <c r="F38" s="8">
        <v>1691666.6666666667</v>
      </c>
      <c r="G38" s="8">
        <v>1479545.4545454546</v>
      </c>
      <c r="H38" s="8">
        <v>190909.09090909103</v>
      </c>
      <c r="I38" s="10">
        <f>Tabela1[[#This Row],[Revenue]]-Tabela1[[#This Row],[Cost]]</f>
        <v>212121.21212121216</v>
      </c>
      <c r="J38">
        <v>2135</v>
      </c>
    </row>
    <row r="39" spans="1:10" x14ac:dyDescent="0.3">
      <c r="A39">
        <v>2024</v>
      </c>
      <c r="B39" s="1" t="s">
        <v>27</v>
      </c>
      <c r="C39">
        <f t="shared" si="0"/>
        <v>8</v>
      </c>
      <c r="D39" t="s">
        <v>11</v>
      </c>
      <c r="E39" t="s">
        <v>12</v>
      </c>
      <c r="F39" s="8">
        <v>2529205</v>
      </c>
      <c r="G39" s="8">
        <v>1998071.9500000002</v>
      </c>
      <c r="H39" s="8">
        <v>478019.74499999988</v>
      </c>
      <c r="I39" s="9">
        <f>Tabela1[[#This Row],[Revenue]]-Tabela1[[#This Row],[Cost]]</f>
        <v>531133.04999999981</v>
      </c>
      <c r="J39">
        <v>2310</v>
      </c>
    </row>
    <row r="40" spans="1:10" x14ac:dyDescent="0.3">
      <c r="A40">
        <v>2024</v>
      </c>
      <c r="B40" s="1" t="s">
        <v>27</v>
      </c>
      <c r="C40">
        <f t="shared" si="0"/>
        <v>8</v>
      </c>
      <c r="D40" t="s">
        <v>16</v>
      </c>
      <c r="E40" t="s">
        <v>16</v>
      </c>
      <c r="F40" s="8">
        <v>10780000</v>
      </c>
      <c r="G40" s="8">
        <v>8645000</v>
      </c>
      <c r="H40" s="8">
        <v>1921500</v>
      </c>
      <c r="I40" s="10">
        <f>Tabela1[[#This Row],[Revenue]]-Tabela1[[#This Row],[Cost]]</f>
        <v>2135000</v>
      </c>
      <c r="J40">
        <v>18480</v>
      </c>
    </row>
    <row r="41" spans="1:10" x14ac:dyDescent="0.3">
      <c r="A41">
        <v>2024</v>
      </c>
      <c r="B41" s="1" t="s">
        <v>27</v>
      </c>
      <c r="C41">
        <f t="shared" si="0"/>
        <v>8</v>
      </c>
      <c r="D41" t="s">
        <v>18</v>
      </c>
      <c r="E41" t="s">
        <v>19</v>
      </c>
      <c r="F41" s="8">
        <v>20300000</v>
      </c>
      <c r="G41" s="8">
        <v>16275000</v>
      </c>
      <c r="H41" s="12">
        <f>Tabela1[[#This Row],[Revenue]]*17%</f>
        <v>3451000.0000000005</v>
      </c>
      <c r="I41" s="10">
        <f>Tabela1[[#This Row],[Revenue]]-Tabela1[[#This Row],[Cost]]</f>
        <v>4025000</v>
      </c>
      <c r="J41">
        <v>31850</v>
      </c>
    </row>
    <row r="42" spans="1:10" x14ac:dyDescent="0.3">
      <c r="A42">
        <v>2024</v>
      </c>
      <c r="B42" s="1" t="s">
        <v>27</v>
      </c>
      <c r="C42">
        <f t="shared" si="0"/>
        <v>8</v>
      </c>
      <c r="D42" t="s">
        <v>18</v>
      </c>
      <c r="E42" t="s">
        <v>20</v>
      </c>
      <c r="F42" s="8">
        <v>80505075</v>
      </c>
      <c r="G42" s="8">
        <v>59134705</v>
      </c>
      <c r="H42" s="8">
        <v>19233333</v>
      </c>
      <c r="I42" s="9">
        <f>Tabela1[[#This Row],[Revenue]]-Tabela1[[#This Row],[Cost]]</f>
        <v>21370370</v>
      </c>
      <c r="J42">
        <v>46270</v>
      </c>
    </row>
    <row r="43" spans="1:10" x14ac:dyDescent="0.3">
      <c r="A43">
        <v>2024</v>
      </c>
      <c r="B43" s="1" t="s">
        <v>28</v>
      </c>
      <c r="C43">
        <f t="shared" si="0"/>
        <v>9</v>
      </c>
      <c r="D43" t="s">
        <v>13</v>
      </c>
      <c r="E43" t="s">
        <v>14</v>
      </c>
      <c r="F43" s="8">
        <v>1341666.6666666667</v>
      </c>
      <c r="G43" s="8">
        <v>1193181.8181818181</v>
      </c>
      <c r="H43" s="8">
        <v>133636.36363636379</v>
      </c>
      <c r="I43" s="10">
        <f>Tabela1[[#This Row],[Revenue]]-Tabela1[[#This Row],[Cost]]</f>
        <v>148484.84848484863</v>
      </c>
      <c r="J43">
        <v>1995</v>
      </c>
    </row>
    <row r="44" spans="1:10" x14ac:dyDescent="0.3">
      <c r="A44">
        <v>2024</v>
      </c>
      <c r="B44" s="1" t="s">
        <v>28</v>
      </c>
      <c r="C44">
        <f t="shared" si="0"/>
        <v>9</v>
      </c>
      <c r="D44" t="s">
        <v>11</v>
      </c>
      <c r="E44" t="s">
        <v>12</v>
      </c>
      <c r="F44" s="8">
        <v>2562385</v>
      </c>
      <c r="G44" s="8">
        <v>2024284.1500000001</v>
      </c>
      <c r="H44" s="8">
        <v>484290.76499999996</v>
      </c>
      <c r="I44" s="9">
        <f>Tabela1[[#This Row],[Revenue]]-Tabela1[[#This Row],[Cost]]</f>
        <v>538100.84999999986</v>
      </c>
      <c r="J44">
        <v>2135</v>
      </c>
    </row>
    <row r="45" spans="1:10" x14ac:dyDescent="0.3">
      <c r="A45">
        <v>2024</v>
      </c>
      <c r="B45" s="1" t="s">
        <v>28</v>
      </c>
      <c r="C45">
        <f t="shared" si="0"/>
        <v>9</v>
      </c>
      <c r="D45" t="s">
        <v>16</v>
      </c>
      <c r="E45" t="s">
        <v>16</v>
      </c>
      <c r="F45" s="8">
        <v>10570000</v>
      </c>
      <c r="G45" s="8">
        <v>8505000</v>
      </c>
      <c r="H45" s="8">
        <v>1858500</v>
      </c>
      <c r="I45" s="10">
        <f>Tabela1[[#This Row],[Revenue]]-Tabela1[[#This Row],[Cost]]</f>
        <v>2065000</v>
      </c>
      <c r="J45">
        <v>18200</v>
      </c>
    </row>
    <row r="46" spans="1:10" x14ac:dyDescent="0.3">
      <c r="A46">
        <v>2024</v>
      </c>
      <c r="B46" s="1" t="s">
        <v>28</v>
      </c>
      <c r="C46">
        <f t="shared" si="0"/>
        <v>9</v>
      </c>
      <c r="D46" t="s">
        <v>18</v>
      </c>
      <c r="E46" t="s">
        <v>19</v>
      </c>
      <c r="F46" s="8">
        <v>16100000</v>
      </c>
      <c r="G46" s="8">
        <v>13125000</v>
      </c>
      <c r="H46" s="8">
        <v>2677500</v>
      </c>
      <c r="I46" s="10">
        <f>Tabela1[[#This Row],[Revenue]]-Tabela1[[#This Row],[Cost]]</f>
        <v>2975000</v>
      </c>
      <c r="J46">
        <v>25200</v>
      </c>
    </row>
    <row r="47" spans="1:10" x14ac:dyDescent="0.3">
      <c r="A47">
        <v>2024</v>
      </c>
      <c r="B47" s="1" t="s">
        <v>28</v>
      </c>
      <c r="C47">
        <f t="shared" si="0"/>
        <v>9</v>
      </c>
      <c r="D47" t="s">
        <v>18</v>
      </c>
      <c r="E47" t="s">
        <v>20</v>
      </c>
      <c r="F47" s="8">
        <v>90244525</v>
      </c>
      <c r="G47" s="8">
        <v>69561205</v>
      </c>
      <c r="H47" s="8">
        <v>18614988</v>
      </c>
      <c r="I47" s="9">
        <f>Tabela1[[#This Row],[Revenue]]-Tabela1[[#This Row],[Cost]]</f>
        <v>20683320</v>
      </c>
      <c r="J47">
        <v>55930</v>
      </c>
    </row>
    <row r="48" spans="1:10" x14ac:dyDescent="0.3">
      <c r="A48">
        <v>2024</v>
      </c>
      <c r="B48" s="1" t="s">
        <v>29</v>
      </c>
      <c r="C48">
        <f t="shared" si="0"/>
        <v>10</v>
      </c>
      <c r="D48" t="s">
        <v>13</v>
      </c>
      <c r="E48" t="s">
        <v>14</v>
      </c>
      <c r="F48" s="8">
        <v>1312500</v>
      </c>
      <c r="G48" s="8">
        <v>1177272.7272727273</v>
      </c>
      <c r="H48" s="8">
        <v>121704.54545454535</v>
      </c>
      <c r="I48" s="10">
        <f>Tabela1[[#This Row],[Revenue]]-Tabela1[[#This Row],[Cost]]</f>
        <v>135227.27272727271</v>
      </c>
      <c r="J48">
        <v>2065</v>
      </c>
    </row>
    <row r="49" spans="1:10" x14ac:dyDescent="0.3">
      <c r="A49">
        <v>2024</v>
      </c>
      <c r="B49" s="1" t="s">
        <v>29</v>
      </c>
      <c r="C49">
        <f t="shared" si="0"/>
        <v>10</v>
      </c>
      <c r="D49" t="s">
        <v>11</v>
      </c>
      <c r="E49" t="s">
        <v>12</v>
      </c>
      <c r="F49" s="8">
        <v>2839235</v>
      </c>
      <c r="G49" s="8">
        <v>2242995.65</v>
      </c>
      <c r="H49" s="8">
        <v>536615.41499999992</v>
      </c>
      <c r="I49" s="9">
        <f>Tabela1[[#This Row],[Revenue]]-Tabela1[[#This Row],[Cost]]</f>
        <v>596239.35000000009</v>
      </c>
      <c r="J49">
        <v>2520</v>
      </c>
    </row>
    <row r="50" spans="1:10" x14ac:dyDescent="0.3">
      <c r="A50">
        <v>2024</v>
      </c>
      <c r="B50" s="1" t="s">
        <v>29</v>
      </c>
      <c r="C50">
        <f t="shared" si="0"/>
        <v>10</v>
      </c>
      <c r="D50" t="s">
        <v>16</v>
      </c>
      <c r="E50" t="s">
        <v>16</v>
      </c>
      <c r="F50" s="8">
        <v>10500000</v>
      </c>
      <c r="G50" s="8">
        <v>8470000</v>
      </c>
      <c r="H50" s="8">
        <v>1827000</v>
      </c>
      <c r="I50" s="10">
        <f>Tabela1[[#This Row],[Revenue]]-Tabela1[[#This Row],[Cost]]</f>
        <v>2030000</v>
      </c>
      <c r="J50">
        <v>18130</v>
      </c>
    </row>
    <row r="51" spans="1:10" x14ac:dyDescent="0.3">
      <c r="A51">
        <v>2024</v>
      </c>
      <c r="B51" s="1" t="s">
        <v>29</v>
      </c>
      <c r="C51">
        <f t="shared" si="0"/>
        <v>10</v>
      </c>
      <c r="D51" t="s">
        <v>18</v>
      </c>
      <c r="E51" t="s">
        <v>19</v>
      </c>
      <c r="F51" s="8">
        <v>15750000</v>
      </c>
      <c r="G51" s="8">
        <v>12950000</v>
      </c>
      <c r="H51" s="8">
        <v>2520000</v>
      </c>
      <c r="I51" s="10">
        <f>Tabela1[[#This Row],[Revenue]]-Tabela1[[#This Row],[Cost]]</f>
        <v>2800000</v>
      </c>
      <c r="J51">
        <v>24850</v>
      </c>
    </row>
    <row r="52" spans="1:10" x14ac:dyDescent="0.3">
      <c r="A52">
        <v>2024</v>
      </c>
      <c r="B52" s="1" t="s">
        <v>29</v>
      </c>
      <c r="C52">
        <f t="shared" si="0"/>
        <v>10</v>
      </c>
      <c r="D52" t="s">
        <v>18</v>
      </c>
      <c r="E52" t="s">
        <v>20</v>
      </c>
      <c r="F52" s="8">
        <v>89945590</v>
      </c>
      <c r="G52" s="8">
        <v>62460860</v>
      </c>
      <c r="H52" s="8">
        <v>24736257.000000004</v>
      </c>
      <c r="I52" s="9">
        <f>Tabela1[[#This Row],[Revenue]]-Tabela1[[#This Row],[Cost]]</f>
        <v>27484730</v>
      </c>
      <c r="J52">
        <v>59045</v>
      </c>
    </row>
    <row r="53" spans="1:10" x14ac:dyDescent="0.3">
      <c r="A53">
        <v>2024</v>
      </c>
      <c r="B53" s="1" t="s">
        <v>30</v>
      </c>
      <c r="C53">
        <f t="shared" si="0"/>
        <v>11</v>
      </c>
      <c r="D53" t="s">
        <v>13</v>
      </c>
      <c r="E53" t="s">
        <v>14</v>
      </c>
      <c r="F53" s="8">
        <v>1283333.3333333333</v>
      </c>
      <c r="G53" s="8">
        <v>1161363.6363636365</v>
      </c>
      <c r="H53" s="8">
        <v>109772.72727272713</v>
      </c>
      <c r="I53" s="10">
        <f>Tabela1[[#This Row],[Revenue]]-Tabela1[[#This Row],[Cost]]</f>
        <v>121969.69696969679</v>
      </c>
      <c r="J53">
        <v>2380</v>
      </c>
    </row>
    <row r="54" spans="1:10" x14ac:dyDescent="0.3">
      <c r="A54">
        <v>2024</v>
      </c>
      <c r="B54" s="1" t="s">
        <v>30</v>
      </c>
      <c r="C54">
        <f t="shared" si="0"/>
        <v>11</v>
      </c>
      <c r="D54" t="s">
        <v>11</v>
      </c>
      <c r="E54" t="s">
        <v>12</v>
      </c>
      <c r="F54" s="8">
        <v>2926770</v>
      </c>
      <c r="G54" s="8">
        <v>2312148.3000000003</v>
      </c>
      <c r="H54" s="8">
        <v>553159.5299999998</v>
      </c>
      <c r="I54" s="9">
        <f>Tabela1[[#This Row],[Revenue]]-Tabela1[[#This Row],[Cost]]</f>
        <v>614621.69999999972</v>
      </c>
      <c r="J54">
        <v>2450</v>
      </c>
    </row>
    <row r="55" spans="1:10" x14ac:dyDescent="0.3">
      <c r="A55">
        <v>2024</v>
      </c>
      <c r="B55" s="1" t="s">
        <v>30</v>
      </c>
      <c r="C55">
        <f t="shared" si="0"/>
        <v>11</v>
      </c>
      <c r="D55" t="s">
        <v>16</v>
      </c>
      <c r="E55" t="s">
        <v>16</v>
      </c>
      <c r="F55" s="8">
        <v>10430000</v>
      </c>
      <c r="G55" s="8">
        <v>8435000</v>
      </c>
      <c r="H55" s="8">
        <v>1795500</v>
      </c>
      <c r="I55" s="10">
        <f>Tabela1[[#This Row],[Revenue]]-Tabela1[[#This Row],[Cost]]</f>
        <v>1995000</v>
      </c>
      <c r="J55">
        <v>18025</v>
      </c>
    </row>
    <row r="56" spans="1:10" x14ac:dyDescent="0.3">
      <c r="A56">
        <v>2024</v>
      </c>
      <c r="B56" s="1" t="s">
        <v>30</v>
      </c>
      <c r="C56">
        <f t="shared" si="0"/>
        <v>11</v>
      </c>
      <c r="D56" t="s">
        <v>18</v>
      </c>
      <c r="E56" t="s">
        <v>19</v>
      </c>
      <c r="F56" s="8">
        <v>15400000</v>
      </c>
      <c r="G56" s="8">
        <v>12775000</v>
      </c>
      <c r="H56" s="8">
        <v>2362500</v>
      </c>
      <c r="I56" s="10">
        <f>Tabela1[[#This Row],[Revenue]]-Tabela1[[#This Row],[Cost]]</f>
        <v>2625000</v>
      </c>
      <c r="J56">
        <v>24500</v>
      </c>
    </row>
    <row r="57" spans="1:10" x14ac:dyDescent="0.3">
      <c r="A57">
        <v>2024</v>
      </c>
      <c r="B57" s="1" t="s">
        <v>30</v>
      </c>
      <c r="C57">
        <f t="shared" si="0"/>
        <v>11</v>
      </c>
      <c r="D57" t="s">
        <v>18</v>
      </c>
      <c r="E57" t="s">
        <v>20</v>
      </c>
      <c r="F57" s="8">
        <v>87064705</v>
      </c>
      <c r="G57" s="8">
        <v>58062935</v>
      </c>
      <c r="H57" s="8">
        <v>26101593</v>
      </c>
      <c r="I57" s="9">
        <f>Tabela1[[#This Row],[Revenue]]-Tabela1[[#This Row],[Cost]]</f>
        <v>29001770</v>
      </c>
      <c r="J57">
        <v>56035</v>
      </c>
    </row>
    <row r="58" spans="1:10" x14ac:dyDescent="0.3">
      <c r="A58">
        <v>2024</v>
      </c>
      <c r="B58" s="1" t="s">
        <v>31</v>
      </c>
      <c r="C58">
        <f t="shared" si="0"/>
        <v>12</v>
      </c>
      <c r="D58" t="s">
        <v>13</v>
      </c>
      <c r="E58" t="s">
        <v>14</v>
      </c>
      <c r="F58" s="8">
        <v>1400000</v>
      </c>
      <c r="G58" s="8">
        <v>1240909.0909090911</v>
      </c>
      <c r="H58" s="8">
        <v>143181.81818181815</v>
      </c>
      <c r="I58" s="10">
        <f>Tabela1[[#This Row],[Revenue]]-Tabela1[[#This Row],[Cost]]</f>
        <v>159090.90909090894</v>
      </c>
      <c r="J58">
        <v>2100</v>
      </c>
    </row>
    <row r="59" spans="1:10" x14ac:dyDescent="0.3">
      <c r="A59">
        <v>2024</v>
      </c>
      <c r="B59" s="1" t="s">
        <v>31</v>
      </c>
      <c r="C59">
        <f t="shared" si="0"/>
        <v>12</v>
      </c>
      <c r="D59" t="s">
        <v>11</v>
      </c>
      <c r="E59" t="s">
        <v>12</v>
      </c>
      <c r="F59" s="8">
        <v>2787540</v>
      </c>
      <c r="G59" s="8">
        <v>2202156.6</v>
      </c>
      <c r="H59" s="8">
        <v>526845.05999999994</v>
      </c>
      <c r="I59" s="9">
        <f>Tabela1[[#This Row],[Revenue]]-Tabela1[[#This Row],[Cost]]</f>
        <v>585383.39999999991</v>
      </c>
      <c r="J59">
        <v>2275</v>
      </c>
    </row>
    <row r="60" spans="1:10" x14ac:dyDescent="0.3">
      <c r="A60">
        <v>2024</v>
      </c>
      <c r="B60" s="1" t="s">
        <v>31</v>
      </c>
      <c r="C60">
        <f t="shared" si="0"/>
        <v>12</v>
      </c>
      <c r="D60" t="s">
        <v>16</v>
      </c>
      <c r="E60" t="s">
        <v>16</v>
      </c>
      <c r="F60" s="8">
        <v>10675000</v>
      </c>
      <c r="G60" s="8">
        <v>8575000</v>
      </c>
      <c r="H60" s="8">
        <v>1890000</v>
      </c>
      <c r="I60" s="10">
        <f>Tabela1[[#This Row],[Revenue]]-Tabela1[[#This Row],[Cost]]</f>
        <v>2100000</v>
      </c>
      <c r="J60">
        <v>18375</v>
      </c>
    </row>
    <row r="61" spans="1:10" x14ac:dyDescent="0.3">
      <c r="A61">
        <v>2024</v>
      </c>
      <c r="B61" s="1" t="s">
        <v>31</v>
      </c>
      <c r="C61">
        <f t="shared" si="0"/>
        <v>12</v>
      </c>
      <c r="D61" t="s">
        <v>16</v>
      </c>
      <c r="E61" t="s">
        <v>16</v>
      </c>
      <c r="F61" s="8">
        <v>10675000</v>
      </c>
      <c r="G61" s="8">
        <v>8575000</v>
      </c>
      <c r="H61" s="8">
        <v>1890000</v>
      </c>
      <c r="I61" s="10">
        <f>Tabela1[[#This Row],[Revenue]]-Tabela1[[#This Row],[Cost]]</f>
        <v>2100000</v>
      </c>
      <c r="J61">
        <v>18375</v>
      </c>
    </row>
    <row r="62" spans="1:10" x14ac:dyDescent="0.3">
      <c r="A62">
        <v>2024</v>
      </c>
      <c r="B62" s="1" t="s">
        <v>31</v>
      </c>
      <c r="C62">
        <f t="shared" si="0"/>
        <v>12</v>
      </c>
      <c r="D62" t="s">
        <v>18</v>
      </c>
      <c r="E62" t="s">
        <v>19</v>
      </c>
      <c r="F62" s="8">
        <v>16800000</v>
      </c>
      <c r="G62" s="8">
        <v>13650000</v>
      </c>
      <c r="H62" s="8">
        <v>2835000</v>
      </c>
      <c r="I62" s="10">
        <f>Tabela1[[#This Row],[Revenue]]-Tabela1[[#This Row],[Cost]]</f>
        <v>3150000</v>
      </c>
      <c r="J62">
        <v>26600</v>
      </c>
    </row>
    <row r="63" spans="1:10" x14ac:dyDescent="0.3">
      <c r="A63">
        <v>2024</v>
      </c>
      <c r="B63" s="1" t="s">
        <v>31</v>
      </c>
      <c r="C63">
        <f t="shared" si="0"/>
        <v>12</v>
      </c>
      <c r="D63" t="s">
        <v>18</v>
      </c>
      <c r="E63" t="s">
        <v>20</v>
      </c>
      <c r="F63" s="8">
        <v>75106360</v>
      </c>
      <c r="G63" s="8">
        <v>54121235</v>
      </c>
      <c r="H63" s="8">
        <v>18886612.5</v>
      </c>
      <c r="I63" s="9">
        <f>Tabela1[[#This Row],[Revenue]]-Tabela1[[#This Row],[Cost]]</f>
        <v>20985125</v>
      </c>
      <c r="J63">
        <v>47670</v>
      </c>
    </row>
    <row r="64" spans="1:10" x14ac:dyDescent="0.3">
      <c r="A64">
        <v>2025</v>
      </c>
      <c r="B64" s="1" t="s">
        <v>10</v>
      </c>
      <c r="C64">
        <f t="shared" si="0"/>
        <v>1</v>
      </c>
      <c r="D64" t="s">
        <v>11</v>
      </c>
      <c r="E64" t="s">
        <v>12</v>
      </c>
      <c r="F64" s="8">
        <v>2824485.3000000003</v>
      </c>
      <c r="G64" s="8">
        <v>2269486.0090000001</v>
      </c>
      <c r="H64" s="8">
        <v>499499.36190000008</v>
      </c>
      <c r="I64" s="9">
        <f>Tabela1[[#This Row],[Revenue]]-Tabela1[[#This Row],[Cost]]</f>
        <v>554999.2910000002</v>
      </c>
      <c r="J64">
        <v>2156</v>
      </c>
    </row>
    <row r="65" spans="1:10" x14ac:dyDescent="0.3">
      <c r="A65">
        <v>2025</v>
      </c>
      <c r="B65" s="1" t="s">
        <v>10</v>
      </c>
      <c r="C65">
        <f t="shared" si="0"/>
        <v>1</v>
      </c>
      <c r="D65" t="s">
        <v>13</v>
      </c>
      <c r="E65" t="s">
        <v>14</v>
      </c>
      <c r="F65" s="8">
        <v>1744166.6666666667</v>
      </c>
      <c r="G65" s="8">
        <v>1500227.2727272727</v>
      </c>
      <c r="H65" s="8">
        <v>219545.45454545473</v>
      </c>
      <c r="I65" s="10">
        <f>Tabela1[[#This Row],[Revenue]]-Tabela1[[#This Row],[Cost]]</f>
        <v>243939.39393939404</v>
      </c>
      <c r="J65">
        <v>2310</v>
      </c>
    </row>
    <row r="66" spans="1:10" x14ac:dyDescent="0.3">
      <c r="A66">
        <v>2025</v>
      </c>
      <c r="B66" s="1" t="s">
        <v>10</v>
      </c>
      <c r="C66">
        <f t="shared" ref="C66:C123" si="1">VLOOKUP(B66,$B$134:$C$145,2,FALSE)</f>
        <v>1</v>
      </c>
      <c r="D66" t="s">
        <v>16</v>
      </c>
      <c r="E66" t="s">
        <v>16</v>
      </c>
      <c r="F66" s="8">
        <v>11025000</v>
      </c>
      <c r="G66" s="8">
        <v>8750000</v>
      </c>
      <c r="H66" s="8">
        <v>2047500</v>
      </c>
      <c r="I66" s="10">
        <f>Tabela1[[#This Row],[Revenue]]-Tabela1[[#This Row],[Cost]]</f>
        <v>2275000</v>
      </c>
      <c r="J66">
        <v>18900</v>
      </c>
    </row>
    <row r="67" spans="1:10" x14ac:dyDescent="0.3">
      <c r="A67">
        <v>2025</v>
      </c>
      <c r="B67" s="1" t="s">
        <v>10</v>
      </c>
      <c r="C67">
        <f t="shared" si="1"/>
        <v>1</v>
      </c>
      <c r="D67" t="s">
        <v>18</v>
      </c>
      <c r="E67" t="s">
        <v>19</v>
      </c>
      <c r="F67" s="8">
        <v>19425000</v>
      </c>
      <c r="G67" s="8">
        <v>15225000</v>
      </c>
      <c r="H67" s="8">
        <v>3780000</v>
      </c>
      <c r="I67" s="10">
        <f>Tabela1[[#This Row],[Revenue]]-Tabela1[[#This Row],[Cost]]</f>
        <v>4200000</v>
      </c>
      <c r="J67">
        <v>30100</v>
      </c>
    </row>
    <row r="68" spans="1:10" x14ac:dyDescent="0.3">
      <c r="A68">
        <v>2025</v>
      </c>
      <c r="B68" s="1" t="s">
        <v>10</v>
      </c>
      <c r="C68">
        <f t="shared" si="1"/>
        <v>1</v>
      </c>
      <c r="D68" t="s">
        <v>18</v>
      </c>
      <c r="E68" t="s">
        <v>20</v>
      </c>
      <c r="F68" s="8">
        <v>96276950</v>
      </c>
      <c r="G68" s="8">
        <v>72170675.500000015</v>
      </c>
      <c r="H68" s="8">
        <v>21695647.050000004</v>
      </c>
      <c r="I68" s="9">
        <f>Tabela1[[#This Row],[Revenue]]-Tabela1[[#This Row],[Cost]]</f>
        <v>24106274.499999985</v>
      </c>
      <c r="J68">
        <v>47779</v>
      </c>
    </row>
    <row r="69" spans="1:10" x14ac:dyDescent="0.3">
      <c r="A69">
        <v>2025</v>
      </c>
      <c r="B69" s="1" t="s">
        <v>21</v>
      </c>
      <c r="C69">
        <f t="shared" si="1"/>
        <v>2</v>
      </c>
      <c r="D69" t="s">
        <v>13</v>
      </c>
      <c r="E69" t="s">
        <v>14</v>
      </c>
      <c r="F69" s="8">
        <v>1710624.9999999998</v>
      </c>
      <c r="G69" s="8">
        <v>1481931.8181818181</v>
      </c>
      <c r="H69" s="8">
        <v>205823.8636363635</v>
      </c>
      <c r="I69" s="10">
        <f>Tabela1[[#This Row],[Revenue]]-Tabela1[[#This Row],[Cost]]</f>
        <v>228693.18181818165</v>
      </c>
      <c r="J69">
        <v>2118</v>
      </c>
    </row>
    <row r="70" spans="1:10" x14ac:dyDescent="0.3">
      <c r="A70">
        <v>2025</v>
      </c>
      <c r="B70" s="1" t="s">
        <v>21</v>
      </c>
      <c r="C70">
        <f t="shared" si="1"/>
        <v>2</v>
      </c>
      <c r="D70" t="s">
        <v>11</v>
      </c>
      <c r="E70" t="s">
        <v>12</v>
      </c>
      <c r="F70" s="8">
        <v>3675098.6999999997</v>
      </c>
      <c r="G70" s="8">
        <v>2952957.5109999999</v>
      </c>
      <c r="H70" s="8">
        <v>649927.07010000001</v>
      </c>
      <c r="I70" s="9">
        <f>Tabela1[[#This Row],[Revenue]]-Tabela1[[#This Row],[Cost]]</f>
        <v>722141.18899999978</v>
      </c>
      <c r="J70">
        <v>2965</v>
      </c>
    </row>
    <row r="71" spans="1:10" x14ac:dyDescent="0.3">
      <c r="A71">
        <v>2025</v>
      </c>
      <c r="B71" s="1" t="s">
        <v>21</v>
      </c>
      <c r="C71">
        <f t="shared" si="1"/>
        <v>2</v>
      </c>
      <c r="D71" t="s">
        <v>16</v>
      </c>
      <c r="E71" t="s">
        <v>16</v>
      </c>
      <c r="F71" s="8">
        <v>10850000</v>
      </c>
      <c r="G71" s="8">
        <v>8680000</v>
      </c>
      <c r="H71" s="8">
        <v>1953000</v>
      </c>
      <c r="I71" s="10">
        <f>Tabela1[[#This Row],[Revenue]]-Tabela1[[#This Row],[Cost]]</f>
        <v>2170000</v>
      </c>
      <c r="J71">
        <v>18725</v>
      </c>
    </row>
    <row r="72" spans="1:10" x14ac:dyDescent="0.3">
      <c r="A72">
        <v>2025</v>
      </c>
      <c r="B72" s="1" t="s">
        <v>21</v>
      </c>
      <c r="C72">
        <f t="shared" si="1"/>
        <v>2</v>
      </c>
      <c r="D72" t="s">
        <v>18</v>
      </c>
      <c r="E72" t="s">
        <v>19</v>
      </c>
      <c r="F72" s="8">
        <v>19075000</v>
      </c>
      <c r="G72" s="8">
        <v>15050000</v>
      </c>
      <c r="H72" s="8">
        <v>3622500</v>
      </c>
      <c r="I72" s="10">
        <f>Tabela1[[#This Row],[Revenue]]-Tabela1[[#This Row],[Cost]]</f>
        <v>4025000</v>
      </c>
      <c r="J72">
        <v>29400</v>
      </c>
    </row>
    <row r="73" spans="1:10" x14ac:dyDescent="0.3">
      <c r="A73">
        <v>2025</v>
      </c>
      <c r="B73" s="1" t="s">
        <v>21</v>
      </c>
      <c r="C73">
        <f t="shared" si="1"/>
        <v>2</v>
      </c>
      <c r="D73" t="s">
        <v>18</v>
      </c>
      <c r="E73" t="s">
        <v>20</v>
      </c>
      <c r="F73" s="8">
        <v>101666180.00000001</v>
      </c>
      <c r="G73" s="8">
        <v>76516902</v>
      </c>
      <c r="H73" s="8">
        <v>22634350.200000003</v>
      </c>
      <c r="I73" s="9">
        <f>Tabela1[[#This Row],[Revenue]]-Tabela1[[#This Row],[Cost]]</f>
        <v>25149278.000000015</v>
      </c>
      <c r="J73">
        <v>52052</v>
      </c>
    </row>
    <row r="74" spans="1:10" x14ac:dyDescent="0.3">
      <c r="A74">
        <v>2025</v>
      </c>
      <c r="B74" s="1" t="s">
        <v>22</v>
      </c>
      <c r="C74">
        <f t="shared" si="1"/>
        <v>3</v>
      </c>
      <c r="D74" t="s">
        <v>13</v>
      </c>
      <c r="E74" t="s">
        <v>14</v>
      </c>
      <c r="F74" s="8">
        <v>1442291.6666666667</v>
      </c>
      <c r="G74" s="8">
        <v>1280681.8181818181</v>
      </c>
      <c r="H74" s="8">
        <v>145448.86363636379</v>
      </c>
      <c r="I74" s="10">
        <f>Tabela1[[#This Row],[Revenue]]-Tabela1[[#This Row],[Cost]]</f>
        <v>161609.84848484863</v>
      </c>
      <c r="J74">
        <v>1810</v>
      </c>
    </row>
    <row r="75" spans="1:10" x14ac:dyDescent="0.3">
      <c r="A75">
        <v>2025</v>
      </c>
      <c r="B75" s="1" t="s">
        <v>22</v>
      </c>
      <c r="C75">
        <f t="shared" si="1"/>
        <v>3</v>
      </c>
      <c r="D75" t="s">
        <v>11</v>
      </c>
      <c r="E75" t="s">
        <v>12</v>
      </c>
      <c r="F75" s="8">
        <v>3097130.3999999994</v>
      </c>
      <c r="G75" s="8">
        <v>2488557.5120000001</v>
      </c>
      <c r="H75" s="8">
        <v>547715.59919999947</v>
      </c>
      <c r="I75" s="9">
        <f>Tabela1[[#This Row],[Revenue]]-Tabela1[[#This Row],[Cost]]</f>
        <v>608572.88799999934</v>
      </c>
      <c r="J75">
        <v>2657</v>
      </c>
    </row>
    <row r="76" spans="1:10" x14ac:dyDescent="0.3">
      <c r="A76">
        <v>2025</v>
      </c>
      <c r="B76" s="1" t="s">
        <v>22</v>
      </c>
      <c r="C76">
        <f t="shared" si="1"/>
        <v>3</v>
      </c>
      <c r="D76" t="s">
        <v>16</v>
      </c>
      <c r="E76" t="s">
        <v>16</v>
      </c>
      <c r="F76" s="8">
        <v>10675000</v>
      </c>
      <c r="G76" s="8">
        <v>8575000</v>
      </c>
      <c r="H76" s="8">
        <v>1890000</v>
      </c>
      <c r="I76" s="10">
        <f>Tabela1[[#This Row],[Revenue]]-Tabela1[[#This Row],[Cost]]</f>
        <v>2100000</v>
      </c>
      <c r="J76">
        <v>18375</v>
      </c>
    </row>
    <row r="77" spans="1:10" x14ac:dyDescent="0.3">
      <c r="A77">
        <v>2025</v>
      </c>
      <c r="B77" s="1" t="s">
        <v>22</v>
      </c>
      <c r="C77">
        <f t="shared" si="1"/>
        <v>3</v>
      </c>
      <c r="D77" t="s">
        <v>18</v>
      </c>
      <c r="E77" t="s">
        <v>19</v>
      </c>
      <c r="F77" s="8">
        <v>16100000</v>
      </c>
      <c r="G77" s="8">
        <v>12950000</v>
      </c>
      <c r="H77" s="8">
        <v>2835000</v>
      </c>
      <c r="I77" s="10">
        <f>Tabela1[[#This Row],[Revenue]]-Tabela1[[#This Row],[Cost]]</f>
        <v>3150000</v>
      </c>
      <c r="J77">
        <v>24850</v>
      </c>
    </row>
    <row r="78" spans="1:10" x14ac:dyDescent="0.3">
      <c r="A78">
        <v>2025</v>
      </c>
      <c r="B78" s="1" t="s">
        <v>22</v>
      </c>
      <c r="C78">
        <f t="shared" si="1"/>
        <v>3</v>
      </c>
      <c r="D78" t="s">
        <v>18</v>
      </c>
      <c r="E78" t="s">
        <v>20</v>
      </c>
      <c r="F78" s="8">
        <v>103901605.50000001</v>
      </c>
      <c r="G78" s="8">
        <v>73366755.000000015</v>
      </c>
      <c r="H78" s="8">
        <v>27481365.450000003</v>
      </c>
      <c r="I78" s="9">
        <f>Tabela1[[#This Row],[Revenue]]-Tabela1[[#This Row],[Cost]]</f>
        <v>30534850.5</v>
      </c>
      <c r="J78">
        <v>52591</v>
      </c>
    </row>
    <row r="79" spans="1:10" x14ac:dyDescent="0.3">
      <c r="A79">
        <v>2025</v>
      </c>
      <c r="B79" s="1" t="s">
        <v>23</v>
      </c>
      <c r="C79">
        <f t="shared" si="1"/>
        <v>4</v>
      </c>
      <c r="D79" t="s">
        <v>13</v>
      </c>
      <c r="E79" t="s">
        <v>14</v>
      </c>
      <c r="F79" s="8">
        <v>1408750</v>
      </c>
      <c r="G79" s="8">
        <v>1262386.3636363635</v>
      </c>
      <c r="H79" s="8">
        <v>131727.27272727279</v>
      </c>
      <c r="I79" s="10">
        <f>Tabela1[[#This Row],[Revenue]]-Tabela1[[#This Row],[Cost]]</f>
        <v>146363.63636363647</v>
      </c>
      <c r="J79">
        <v>2272</v>
      </c>
    </row>
    <row r="80" spans="1:10" x14ac:dyDescent="0.3">
      <c r="A80">
        <v>2025</v>
      </c>
      <c r="B80" s="1" t="s">
        <v>23</v>
      </c>
      <c r="C80">
        <f t="shared" si="1"/>
        <v>4</v>
      </c>
      <c r="D80" t="s">
        <v>11</v>
      </c>
      <c r="E80" t="s">
        <v>12</v>
      </c>
      <c r="F80" s="8">
        <v>3249996.7499999995</v>
      </c>
      <c r="G80" s="8">
        <v>2611386.2774999999</v>
      </c>
      <c r="H80" s="12">
        <f>Tabela1[[#This Row],[Revenue]]*18%</f>
        <v>584999.41499999992</v>
      </c>
      <c r="I80" s="9">
        <f>Tabela1[[#This Row],[Revenue]]-Tabela1[[#This Row],[Cost]]</f>
        <v>638610.47249999968</v>
      </c>
      <c r="J80">
        <v>2734</v>
      </c>
    </row>
    <row r="81" spans="1:10" x14ac:dyDescent="0.3">
      <c r="A81">
        <v>2025</v>
      </c>
      <c r="B81" s="1" t="s">
        <v>23</v>
      </c>
      <c r="C81">
        <f t="shared" si="1"/>
        <v>4</v>
      </c>
      <c r="D81" t="s">
        <v>16</v>
      </c>
      <c r="E81" t="s">
        <v>16</v>
      </c>
      <c r="F81" s="8">
        <v>10780000</v>
      </c>
      <c r="G81" s="8">
        <v>8610000</v>
      </c>
      <c r="H81" s="8">
        <v>1953000</v>
      </c>
      <c r="I81" s="10">
        <f>Tabela1[[#This Row],[Revenue]]-Tabela1[[#This Row],[Cost]]</f>
        <v>2170000</v>
      </c>
      <c r="J81">
        <v>18550</v>
      </c>
    </row>
    <row r="82" spans="1:10" x14ac:dyDescent="0.3">
      <c r="A82">
        <v>2025</v>
      </c>
      <c r="B82" s="1" t="s">
        <v>23</v>
      </c>
      <c r="C82">
        <f t="shared" si="1"/>
        <v>4</v>
      </c>
      <c r="D82" t="s">
        <v>18</v>
      </c>
      <c r="E82" t="s">
        <v>19</v>
      </c>
      <c r="F82" s="8">
        <v>15925000</v>
      </c>
      <c r="G82" s="8">
        <v>12775000</v>
      </c>
      <c r="H82" s="8">
        <v>2835000</v>
      </c>
      <c r="I82" s="10">
        <f>Tabela1[[#This Row],[Revenue]]-Tabela1[[#This Row],[Cost]]</f>
        <v>3150000</v>
      </c>
      <c r="J82">
        <v>24500</v>
      </c>
    </row>
    <row r="83" spans="1:10" x14ac:dyDescent="0.3">
      <c r="A83">
        <v>2025</v>
      </c>
      <c r="B83" s="1" t="s">
        <v>23</v>
      </c>
      <c r="C83">
        <f t="shared" si="1"/>
        <v>4</v>
      </c>
      <c r="D83" t="s">
        <v>18</v>
      </c>
      <c r="E83" t="s">
        <v>20</v>
      </c>
      <c r="F83" s="8">
        <v>92981773.5</v>
      </c>
      <c r="G83" s="8">
        <v>76247325</v>
      </c>
      <c r="H83" s="8">
        <v>15061003.65</v>
      </c>
      <c r="I83" s="9">
        <f>Tabela1[[#This Row],[Revenue]]-Tabela1[[#This Row],[Cost]]</f>
        <v>16734448.5</v>
      </c>
      <c r="J83">
        <v>46200</v>
      </c>
    </row>
    <row r="84" spans="1:10" x14ac:dyDescent="0.3">
      <c r="A84">
        <v>2025</v>
      </c>
      <c r="B84" s="1" t="s">
        <v>24</v>
      </c>
      <c r="C84">
        <f t="shared" si="1"/>
        <v>5</v>
      </c>
      <c r="D84" t="s">
        <v>13</v>
      </c>
      <c r="E84" t="s">
        <v>14</v>
      </c>
      <c r="F84" s="8">
        <v>1475833.3333333333</v>
      </c>
      <c r="G84" s="8">
        <v>1317272.7272727271</v>
      </c>
      <c r="H84" s="8">
        <v>142704.5454545455</v>
      </c>
      <c r="I84" s="10">
        <f>Tabela1[[#This Row],[Revenue]]-Tabela1[[#This Row],[Cost]]</f>
        <v>158560.60606060619</v>
      </c>
      <c r="J84">
        <v>1964</v>
      </c>
    </row>
    <row r="85" spans="1:10" x14ac:dyDescent="0.3">
      <c r="A85">
        <v>2025</v>
      </c>
      <c r="B85" s="1" t="s">
        <v>24</v>
      </c>
      <c r="C85">
        <f t="shared" si="1"/>
        <v>5</v>
      </c>
      <c r="D85" t="s">
        <v>11</v>
      </c>
      <c r="E85" t="s">
        <v>12</v>
      </c>
      <c r="F85" s="8">
        <v>3335623.1999999997</v>
      </c>
      <c r="G85" s="8">
        <v>2680187.4960000003</v>
      </c>
      <c r="H85" s="8">
        <v>589892.13359999959</v>
      </c>
      <c r="I85" s="9">
        <f>Tabela1[[#This Row],[Revenue]]-Tabela1[[#This Row],[Cost]]</f>
        <v>655435.70399999944</v>
      </c>
      <c r="J85">
        <v>2811</v>
      </c>
    </row>
    <row r="86" spans="1:10" x14ac:dyDescent="0.3">
      <c r="A86">
        <v>2025</v>
      </c>
      <c r="B86" s="1" t="s">
        <v>24</v>
      </c>
      <c r="C86">
        <f t="shared" si="1"/>
        <v>5</v>
      </c>
      <c r="D86" t="s">
        <v>16</v>
      </c>
      <c r="E86" t="s">
        <v>16</v>
      </c>
      <c r="F86" s="8">
        <v>10920000</v>
      </c>
      <c r="G86" s="8">
        <v>8715000</v>
      </c>
      <c r="H86" s="8">
        <v>1984500</v>
      </c>
      <c r="I86" s="10">
        <f>Tabela1[[#This Row],[Revenue]]-Tabela1[[#This Row],[Cost]]</f>
        <v>2205000</v>
      </c>
      <c r="J86">
        <v>18725</v>
      </c>
    </row>
    <row r="87" spans="1:10" x14ac:dyDescent="0.3">
      <c r="A87">
        <v>2025</v>
      </c>
      <c r="B87" s="1" t="s">
        <v>24</v>
      </c>
      <c r="C87">
        <f t="shared" si="1"/>
        <v>5</v>
      </c>
      <c r="D87" t="s">
        <v>18</v>
      </c>
      <c r="E87" t="s">
        <v>19</v>
      </c>
      <c r="F87" s="8">
        <v>16450000</v>
      </c>
      <c r="G87" s="8">
        <v>13300000</v>
      </c>
      <c r="H87" s="8">
        <v>2835000</v>
      </c>
      <c r="I87" s="10">
        <f>Tabela1[[#This Row],[Revenue]]-Tabela1[[#This Row],[Cost]]</f>
        <v>3150000</v>
      </c>
      <c r="J87">
        <v>25550</v>
      </c>
    </row>
    <row r="88" spans="1:10" x14ac:dyDescent="0.3">
      <c r="A88">
        <v>2025</v>
      </c>
      <c r="B88" s="1" t="s">
        <v>24</v>
      </c>
      <c r="C88">
        <f t="shared" si="1"/>
        <v>5</v>
      </c>
      <c r="D88" t="s">
        <v>18</v>
      </c>
      <c r="E88" t="s">
        <v>20</v>
      </c>
      <c r="F88" s="8">
        <v>80949676.500000015</v>
      </c>
      <c r="G88" s="8">
        <v>68705906.5</v>
      </c>
      <c r="H88" s="8">
        <v>11019393</v>
      </c>
      <c r="I88" s="9">
        <f>Tabela1[[#This Row],[Revenue]]-Tabela1[[#This Row],[Cost]]</f>
        <v>12243770.000000015</v>
      </c>
      <c r="J88">
        <v>39424</v>
      </c>
    </row>
    <row r="89" spans="1:10" x14ac:dyDescent="0.3">
      <c r="A89">
        <v>2025</v>
      </c>
      <c r="B89" s="1" t="s">
        <v>25</v>
      </c>
      <c r="C89">
        <f t="shared" si="1"/>
        <v>6</v>
      </c>
      <c r="D89" t="s">
        <v>11</v>
      </c>
      <c r="E89" t="s">
        <v>12</v>
      </c>
      <c r="F89" s="8">
        <v>2516623.1999999997</v>
      </c>
      <c r="G89" s="8">
        <v>2022117.496</v>
      </c>
      <c r="H89" s="8">
        <v>445055.13359999959</v>
      </c>
      <c r="I89" s="9">
        <f>Tabela1[[#This Row],[Revenue]]-Tabela1[[#This Row],[Cost]]</f>
        <v>494505.70399999968</v>
      </c>
      <c r="J89">
        <v>2118</v>
      </c>
    </row>
    <row r="90" spans="1:10" x14ac:dyDescent="0.3">
      <c r="A90">
        <v>2025</v>
      </c>
      <c r="B90" s="1" t="s">
        <v>25</v>
      </c>
      <c r="C90">
        <f t="shared" si="1"/>
        <v>6</v>
      </c>
      <c r="D90" t="s">
        <v>13</v>
      </c>
      <c r="E90" t="s">
        <v>14</v>
      </c>
      <c r="F90" s="8">
        <v>1878333.333333333</v>
      </c>
      <c r="G90" s="8">
        <v>1628295.4545454546</v>
      </c>
      <c r="H90" s="8">
        <v>225034.09090909065</v>
      </c>
      <c r="I90" s="10">
        <f>Tabela1[[#This Row],[Revenue]]-Tabela1[[#This Row],[Cost]]</f>
        <v>250037.87878787844</v>
      </c>
      <c r="J90">
        <v>2426</v>
      </c>
    </row>
    <row r="91" spans="1:10" x14ac:dyDescent="0.3">
      <c r="A91">
        <v>2025</v>
      </c>
      <c r="B91" s="1" t="s">
        <v>25</v>
      </c>
      <c r="C91">
        <f t="shared" si="1"/>
        <v>6</v>
      </c>
      <c r="D91" t="s">
        <v>16</v>
      </c>
      <c r="E91" t="s">
        <v>16</v>
      </c>
      <c r="F91" s="8">
        <v>11200000</v>
      </c>
      <c r="G91" s="8">
        <v>8925000</v>
      </c>
      <c r="H91" s="8">
        <v>2047500</v>
      </c>
      <c r="I91" s="10">
        <f>Tabela1[[#This Row],[Revenue]]-Tabela1[[#This Row],[Cost]]</f>
        <v>2275000</v>
      </c>
      <c r="J91">
        <v>19075</v>
      </c>
    </row>
    <row r="92" spans="1:10" x14ac:dyDescent="0.3">
      <c r="A92">
        <v>2025</v>
      </c>
      <c r="B92" s="1" t="s">
        <v>25</v>
      </c>
      <c r="C92">
        <f t="shared" si="1"/>
        <v>6</v>
      </c>
      <c r="D92" t="s">
        <v>18</v>
      </c>
      <c r="E92" t="s">
        <v>19</v>
      </c>
      <c r="F92" s="8">
        <v>21000000</v>
      </c>
      <c r="G92" s="8">
        <v>16625000</v>
      </c>
      <c r="H92" s="8">
        <v>3937500</v>
      </c>
      <c r="I92" s="10">
        <f>Tabela1[[#This Row],[Revenue]]-Tabela1[[#This Row],[Cost]]</f>
        <v>4375000</v>
      </c>
      <c r="J92">
        <v>32550</v>
      </c>
    </row>
    <row r="93" spans="1:10" x14ac:dyDescent="0.3">
      <c r="A93">
        <v>2025</v>
      </c>
      <c r="B93" s="1" t="s">
        <v>25</v>
      </c>
      <c r="C93">
        <f t="shared" si="1"/>
        <v>6</v>
      </c>
      <c r="D93" t="s">
        <v>18</v>
      </c>
      <c r="E93" t="s">
        <v>20</v>
      </c>
      <c r="F93" s="8">
        <v>89924373.000000015</v>
      </c>
      <c r="G93" s="8">
        <v>63813326.500000007</v>
      </c>
      <c r="H93" s="8">
        <v>23499941.850000001</v>
      </c>
      <c r="I93" s="9">
        <f>Tabela1[[#This Row],[Revenue]]-Tabela1[[#This Row],[Cost]]</f>
        <v>26111046.500000007</v>
      </c>
      <c r="J93">
        <v>48356</v>
      </c>
    </row>
    <row r="94" spans="1:10" x14ac:dyDescent="0.3">
      <c r="A94">
        <v>2025</v>
      </c>
      <c r="B94" s="1" t="s">
        <v>26</v>
      </c>
      <c r="C94">
        <f t="shared" si="1"/>
        <v>7</v>
      </c>
      <c r="D94" t="s">
        <v>11</v>
      </c>
      <c r="E94" t="s">
        <v>12</v>
      </c>
      <c r="F94" s="8">
        <v>2886401.6999999997</v>
      </c>
      <c r="G94" s="8">
        <v>2319236.1010000003</v>
      </c>
      <c r="H94" s="8">
        <v>510449.0390999997</v>
      </c>
      <c r="I94" s="9">
        <f>Tabela1[[#This Row],[Revenue]]-Tabela1[[#This Row],[Cost]]</f>
        <v>567165.59899999946</v>
      </c>
      <c r="J94">
        <v>2387</v>
      </c>
    </row>
    <row r="95" spans="1:10" x14ac:dyDescent="0.3">
      <c r="A95">
        <v>2025</v>
      </c>
      <c r="B95" s="1" t="s">
        <v>26</v>
      </c>
      <c r="C95">
        <f t="shared" si="1"/>
        <v>7</v>
      </c>
      <c r="D95" t="s">
        <v>13</v>
      </c>
      <c r="E95" t="s">
        <v>14</v>
      </c>
      <c r="F95" s="8">
        <v>1978958.333333333</v>
      </c>
      <c r="G95" s="8">
        <v>1719772.7272727271</v>
      </c>
      <c r="H95" s="8">
        <v>233267.0454545453</v>
      </c>
      <c r="I95" s="10">
        <f>Tabela1[[#This Row],[Revenue]]-Tabela1[[#This Row],[Cost]]</f>
        <v>259185.60606060596</v>
      </c>
      <c r="J95">
        <v>2541</v>
      </c>
    </row>
    <row r="96" spans="1:10" x14ac:dyDescent="0.3">
      <c r="A96">
        <v>2025</v>
      </c>
      <c r="B96" s="1" t="s">
        <v>26</v>
      </c>
      <c r="C96">
        <f t="shared" si="1"/>
        <v>7</v>
      </c>
      <c r="D96" t="s">
        <v>16</v>
      </c>
      <c r="E96" t="s">
        <v>16</v>
      </c>
      <c r="F96" s="8">
        <v>11375000</v>
      </c>
      <c r="G96" s="8">
        <v>9030000</v>
      </c>
      <c r="H96" s="8">
        <v>2110500</v>
      </c>
      <c r="I96" s="10">
        <f>Tabela1[[#This Row],[Revenue]]-Tabela1[[#This Row],[Cost]]</f>
        <v>2345000</v>
      </c>
      <c r="J96">
        <v>19250</v>
      </c>
    </row>
    <row r="97" spans="1:10" x14ac:dyDescent="0.3">
      <c r="A97">
        <v>2025</v>
      </c>
      <c r="B97" s="1" t="s">
        <v>26</v>
      </c>
      <c r="C97">
        <f t="shared" si="1"/>
        <v>7</v>
      </c>
      <c r="D97" t="s">
        <v>18</v>
      </c>
      <c r="E97" t="s">
        <v>19</v>
      </c>
      <c r="F97" s="8">
        <v>22050000</v>
      </c>
      <c r="G97" s="8">
        <v>17500000</v>
      </c>
      <c r="H97" s="12">
        <f>Tabela1[[#This Row],[Revenue]]*17%</f>
        <v>3748500.0000000005</v>
      </c>
      <c r="I97" s="10">
        <f>Tabela1[[#This Row],[Revenue]]-Tabela1[[#This Row],[Cost]]</f>
        <v>4550000</v>
      </c>
      <c r="J97">
        <v>33950</v>
      </c>
    </row>
    <row r="98" spans="1:10" x14ac:dyDescent="0.3">
      <c r="A98">
        <v>2025</v>
      </c>
      <c r="B98" s="1" t="s">
        <v>26</v>
      </c>
      <c r="C98">
        <f t="shared" si="1"/>
        <v>7</v>
      </c>
      <c r="D98" t="s">
        <v>18</v>
      </c>
      <c r="E98" t="s">
        <v>20</v>
      </c>
      <c r="F98" s="8">
        <v>90811682.5</v>
      </c>
      <c r="G98" s="8">
        <v>72169135.500000015</v>
      </c>
      <c r="H98" s="12">
        <f>Tabela1[[#This Row],[Revenue]]*23%</f>
        <v>20886686.975000001</v>
      </c>
      <c r="I98" s="9">
        <f>Tabela1[[#This Row],[Revenue]]-Tabela1[[#This Row],[Cost]]</f>
        <v>18642546.999999985</v>
      </c>
      <c r="J98">
        <v>53477</v>
      </c>
    </row>
    <row r="99" spans="1:10" x14ac:dyDescent="0.3">
      <c r="A99">
        <v>2025</v>
      </c>
      <c r="B99" s="1" t="s">
        <v>27</v>
      </c>
      <c r="C99">
        <f t="shared" si="1"/>
        <v>8</v>
      </c>
      <c r="D99" t="s">
        <v>13</v>
      </c>
      <c r="E99" t="s">
        <v>14</v>
      </c>
      <c r="F99" s="8">
        <v>1945416.6666666665</v>
      </c>
      <c r="G99" s="8">
        <v>1701477.2727272727</v>
      </c>
      <c r="H99" s="8">
        <v>219545.4545454545</v>
      </c>
      <c r="I99" s="10">
        <f>Tabela1[[#This Row],[Revenue]]-Tabela1[[#This Row],[Cost]]</f>
        <v>243939.39393939381</v>
      </c>
      <c r="J99">
        <v>2349</v>
      </c>
    </row>
    <row r="100" spans="1:10" x14ac:dyDescent="0.3">
      <c r="A100">
        <v>2025</v>
      </c>
      <c r="B100" s="1" t="s">
        <v>27</v>
      </c>
      <c r="C100">
        <f t="shared" si="1"/>
        <v>8</v>
      </c>
      <c r="D100" t="s">
        <v>11</v>
      </c>
      <c r="E100" t="s">
        <v>12</v>
      </c>
      <c r="F100" s="8">
        <v>2959169.8499999996</v>
      </c>
      <c r="G100" s="8">
        <v>2377705.6204999997</v>
      </c>
      <c r="H100" s="8">
        <v>523317.80654999992</v>
      </c>
      <c r="I100" s="9">
        <f>Tabela1[[#This Row],[Revenue]]-Tabela1[[#This Row],[Cost]]</f>
        <v>581464.2294999999</v>
      </c>
      <c r="J100">
        <v>2541</v>
      </c>
    </row>
    <row r="101" spans="1:10" x14ac:dyDescent="0.3">
      <c r="A101">
        <v>2025</v>
      </c>
      <c r="B101" s="1" t="s">
        <v>27</v>
      </c>
      <c r="C101">
        <f t="shared" si="1"/>
        <v>8</v>
      </c>
      <c r="D101" t="s">
        <v>16</v>
      </c>
      <c r="E101" t="s">
        <v>16</v>
      </c>
      <c r="F101" s="8">
        <v>11305000</v>
      </c>
      <c r="G101" s="8">
        <v>8995000</v>
      </c>
      <c r="H101" s="8">
        <v>2079000</v>
      </c>
      <c r="I101" s="10">
        <f>Tabela1[[#This Row],[Revenue]]-Tabela1[[#This Row],[Cost]]</f>
        <v>2310000</v>
      </c>
      <c r="J101">
        <v>19180</v>
      </c>
    </row>
    <row r="102" spans="1:10" x14ac:dyDescent="0.3">
      <c r="A102">
        <v>2025</v>
      </c>
      <c r="B102" s="1" t="s">
        <v>27</v>
      </c>
      <c r="C102">
        <f t="shared" si="1"/>
        <v>8</v>
      </c>
      <c r="D102" t="s">
        <v>18</v>
      </c>
      <c r="E102" t="s">
        <v>19</v>
      </c>
      <c r="F102" s="8">
        <v>21700000</v>
      </c>
      <c r="G102" s="8">
        <v>17325000</v>
      </c>
      <c r="H102" s="8">
        <v>3937500</v>
      </c>
      <c r="I102" s="10">
        <f>Tabela1[[#This Row],[Revenue]]-Tabela1[[#This Row],[Cost]]</f>
        <v>4375000</v>
      </c>
      <c r="J102">
        <v>33600</v>
      </c>
    </row>
    <row r="103" spans="1:10" x14ac:dyDescent="0.3">
      <c r="A103">
        <v>2025</v>
      </c>
      <c r="B103" s="1" t="s">
        <v>27</v>
      </c>
      <c r="C103">
        <f t="shared" si="1"/>
        <v>8</v>
      </c>
      <c r="D103" t="s">
        <v>18</v>
      </c>
      <c r="E103" t="s">
        <v>20</v>
      </c>
      <c r="F103" s="8">
        <v>88555582.5</v>
      </c>
      <c r="G103" s="8">
        <v>65048175.5</v>
      </c>
      <c r="H103" s="8">
        <v>21156666.300000001</v>
      </c>
      <c r="I103" s="9">
        <f>Tabela1[[#This Row],[Revenue]]-Tabela1[[#This Row],[Cost]]</f>
        <v>23507407</v>
      </c>
      <c r="J103">
        <v>50897</v>
      </c>
    </row>
    <row r="104" spans="1:10" x14ac:dyDescent="0.3">
      <c r="A104">
        <v>2025</v>
      </c>
      <c r="B104" s="1" t="s">
        <v>28</v>
      </c>
      <c r="C104">
        <f t="shared" si="1"/>
        <v>9</v>
      </c>
      <c r="D104" t="s">
        <v>13</v>
      </c>
      <c r="E104" t="s">
        <v>14</v>
      </c>
      <c r="F104" s="8">
        <v>1542916.6666666667</v>
      </c>
      <c r="G104" s="8">
        <v>1372159.0909090906</v>
      </c>
      <c r="H104" s="8">
        <v>153681.81818181844</v>
      </c>
      <c r="I104" s="10">
        <f>Tabela1[[#This Row],[Revenue]]-Tabela1[[#This Row],[Cost]]</f>
        <v>170757.57575757615</v>
      </c>
      <c r="J104">
        <v>2195</v>
      </c>
    </row>
    <row r="105" spans="1:10" x14ac:dyDescent="0.3">
      <c r="A105">
        <v>2025</v>
      </c>
      <c r="B105" s="1" t="s">
        <v>28</v>
      </c>
      <c r="C105">
        <f t="shared" si="1"/>
        <v>9</v>
      </c>
      <c r="D105" t="s">
        <v>11</v>
      </c>
      <c r="E105" t="s">
        <v>12</v>
      </c>
      <c r="F105" s="8">
        <v>2997990.4499999997</v>
      </c>
      <c r="G105" s="8">
        <v>2408898.1384999999</v>
      </c>
      <c r="H105" s="8">
        <v>530183.08034999995</v>
      </c>
      <c r="I105" s="9">
        <f>Tabela1[[#This Row],[Revenue]]-Tabela1[[#This Row],[Cost]]</f>
        <v>589092.31149999984</v>
      </c>
      <c r="J105">
        <v>2349</v>
      </c>
    </row>
    <row r="106" spans="1:10" x14ac:dyDescent="0.3">
      <c r="A106">
        <v>2025</v>
      </c>
      <c r="B106" s="1" t="s">
        <v>28</v>
      </c>
      <c r="C106">
        <f t="shared" si="1"/>
        <v>9</v>
      </c>
      <c r="D106" t="s">
        <v>16</v>
      </c>
      <c r="E106" t="s">
        <v>16</v>
      </c>
      <c r="F106" s="8">
        <v>11130000</v>
      </c>
      <c r="G106" s="8">
        <v>8820000</v>
      </c>
      <c r="H106" s="8">
        <v>2079000</v>
      </c>
      <c r="I106" s="10">
        <f>Tabela1[[#This Row],[Revenue]]-Tabela1[[#This Row],[Cost]]</f>
        <v>2310000</v>
      </c>
      <c r="J106">
        <v>18900</v>
      </c>
    </row>
    <row r="107" spans="1:10" x14ac:dyDescent="0.3">
      <c r="A107">
        <v>2025</v>
      </c>
      <c r="B107" s="1" t="s">
        <v>28</v>
      </c>
      <c r="C107">
        <f t="shared" si="1"/>
        <v>9</v>
      </c>
      <c r="D107" t="s">
        <v>18</v>
      </c>
      <c r="E107" t="s">
        <v>19</v>
      </c>
      <c r="F107" s="8">
        <v>17150000</v>
      </c>
      <c r="G107" s="8">
        <v>13825000</v>
      </c>
      <c r="H107" s="8">
        <v>2992500</v>
      </c>
      <c r="I107" s="10">
        <f>Tabela1[[#This Row],[Revenue]]-Tabela1[[#This Row],[Cost]]</f>
        <v>3325000</v>
      </c>
      <c r="J107">
        <v>26600</v>
      </c>
    </row>
    <row r="108" spans="1:10" x14ac:dyDescent="0.3">
      <c r="A108">
        <v>2025</v>
      </c>
      <c r="B108" s="1" t="s">
        <v>28</v>
      </c>
      <c r="C108">
        <f t="shared" si="1"/>
        <v>9</v>
      </c>
      <c r="D108" t="s">
        <v>18</v>
      </c>
      <c r="E108" t="s">
        <v>20</v>
      </c>
      <c r="F108" s="8">
        <v>99268977.5</v>
      </c>
      <c r="G108" s="8">
        <v>76517325.500000015</v>
      </c>
      <c r="H108" s="8">
        <v>20476486.800000004</v>
      </c>
      <c r="I108" s="9">
        <f>Tabela1[[#This Row],[Revenue]]-Tabela1[[#This Row],[Cost]]</f>
        <v>22751651.999999985</v>
      </c>
      <c r="J108">
        <v>61523</v>
      </c>
    </row>
    <row r="109" spans="1:10" x14ac:dyDescent="0.3">
      <c r="A109">
        <v>2025</v>
      </c>
      <c r="B109" s="1" t="s">
        <v>29</v>
      </c>
      <c r="C109">
        <f t="shared" si="1"/>
        <v>10</v>
      </c>
      <c r="D109" t="s">
        <v>13</v>
      </c>
      <c r="E109" t="s">
        <v>14</v>
      </c>
      <c r="F109" s="8">
        <v>1509375</v>
      </c>
      <c r="G109" s="8">
        <v>1353863.6363636365</v>
      </c>
      <c r="H109" s="8">
        <v>139960.22727272721</v>
      </c>
      <c r="I109" s="10">
        <f>Tabela1[[#This Row],[Revenue]]-Tabela1[[#This Row],[Cost]]</f>
        <v>155511.36363636353</v>
      </c>
      <c r="J109">
        <v>2272</v>
      </c>
    </row>
    <row r="110" spans="1:10" x14ac:dyDescent="0.3">
      <c r="A110">
        <v>2025</v>
      </c>
      <c r="B110" s="1" t="s">
        <v>29</v>
      </c>
      <c r="C110">
        <f t="shared" si="1"/>
        <v>10</v>
      </c>
      <c r="D110" t="s">
        <v>11</v>
      </c>
      <c r="E110" t="s">
        <v>12</v>
      </c>
      <c r="F110" s="8">
        <v>3321904.9499999997</v>
      </c>
      <c r="G110" s="8">
        <v>2669164.8234999999</v>
      </c>
      <c r="H110" s="8">
        <v>587466.11384999962</v>
      </c>
      <c r="I110" s="9">
        <f>Tabela1[[#This Row],[Revenue]]-Tabela1[[#This Row],[Cost]]</f>
        <v>652740.12649999978</v>
      </c>
      <c r="J110">
        <v>2772</v>
      </c>
    </row>
    <row r="111" spans="1:10" x14ac:dyDescent="0.3">
      <c r="A111">
        <v>2025</v>
      </c>
      <c r="B111" s="1" t="s">
        <v>29</v>
      </c>
      <c r="C111">
        <f t="shared" si="1"/>
        <v>10</v>
      </c>
      <c r="D111" t="s">
        <v>16</v>
      </c>
      <c r="E111" t="s">
        <v>16</v>
      </c>
      <c r="F111" s="8">
        <v>11025000</v>
      </c>
      <c r="G111" s="8">
        <v>8750000</v>
      </c>
      <c r="H111" s="8">
        <v>2047500</v>
      </c>
      <c r="I111" s="10">
        <f>Tabela1[[#This Row],[Revenue]]-Tabela1[[#This Row],[Cost]]</f>
        <v>2275000</v>
      </c>
      <c r="J111">
        <v>18830</v>
      </c>
    </row>
    <row r="112" spans="1:10" x14ac:dyDescent="0.3">
      <c r="A112">
        <v>2025</v>
      </c>
      <c r="B112" s="1" t="s">
        <v>29</v>
      </c>
      <c r="C112">
        <f t="shared" si="1"/>
        <v>10</v>
      </c>
      <c r="D112" t="s">
        <v>18</v>
      </c>
      <c r="E112" t="s">
        <v>19</v>
      </c>
      <c r="F112" s="8">
        <v>16800000</v>
      </c>
      <c r="G112" s="8">
        <v>13650000</v>
      </c>
      <c r="H112" s="8">
        <v>2835000</v>
      </c>
      <c r="I112" s="10">
        <f>Tabela1[[#This Row],[Revenue]]-Tabela1[[#This Row],[Cost]]</f>
        <v>3150000</v>
      </c>
      <c r="J112">
        <v>26250</v>
      </c>
    </row>
    <row r="113" spans="1:10" x14ac:dyDescent="0.3">
      <c r="A113">
        <v>2025</v>
      </c>
      <c r="B113" s="1" t="s">
        <v>29</v>
      </c>
      <c r="C113">
        <f t="shared" si="1"/>
        <v>10</v>
      </c>
      <c r="D113" t="s">
        <v>18</v>
      </c>
      <c r="E113" t="s">
        <v>20</v>
      </c>
      <c r="F113" s="8">
        <v>98940149.000000015</v>
      </c>
      <c r="G113" s="8">
        <v>68706946</v>
      </c>
      <c r="H113" s="8">
        <v>27209882.700000003</v>
      </c>
      <c r="I113" s="9">
        <f>Tabela1[[#This Row],[Revenue]]-Tabela1[[#This Row],[Cost]]</f>
        <v>30233203.000000015</v>
      </c>
      <c r="J113">
        <v>64950</v>
      </c>
    </row>
    <row r="114" spans="1:10" x14ac:dyDescent="0.3">
      <c r="A114">
        <v>2025</v>
      </c>
      <c r="B114" s="1" t="s">
        <v>30</v>
      </c>
      <c r="C114">
        <f t="shared" si="1"/>
        <v>11</v>
      </c>
      <c r="D114" t="s">
        <v>13</v>
      </c>
      <c r="E114" t="s">
        <v>14</v>
      </c>
      <c r="F114" s="8">
        <v>1475833.3333333333</v>
      </c>
      <c r="G114" s="8">
        <v>1335568.1818181819</v>
      </c>
      <c r="H114" s="8">
        <v>126238.63636363621</v>
      </c>
      <c r="I114" s="10">
        <f>Tabela1[[#This Row],[Revenue]]-Tabela1[[#This Row],[Cost]]</f>
        <v>140265.15151515137</v>
      </c>
      <c r="J114">
        <v>2618</v>
      </c>
    </row>
    <row r="115" spans="1:10" x14ac:dyDescent="0.3">
      <c r="A115">
        <v>2025</v>
      </c>
      <c r="B115" s="1" t="s">
        <v>30</v>
      </c>
      <c r="C115">
        <f t="shared" si="1"/>
        <v>11</v>
      </c>
      <c r="D115" t="s">
        <v>11</v>
      </c>
      <c r="E115" t="s">
        <v>12</v>
      </c>
      <c r="F115" s="8">
        <v>3424320.8999999994</v>
      </c>
      <c r="G115" s="8">
        <v>2751456.477</v>
      </c>
      <c r="H115" s="8">
        <v>605577.98069999984</v>
      </c>
      <c r="I115" s="9">
        <f>Tabela1[[#This Row],[Revenue]]-Tabela1[[#This Row],[Cost]]</f>
        <v>672864.42299999949</v>
      </c>
      <c r="J115">
        <v>2695</v>
      </c>
    </row>
    <row r="116" spans="1:10" x14ac:dyDescent="0.3">
      <c r="A116">
        <v>2025</v>
      </c>
      <c r="B116" s="1" t="s">
        <v>30</v>
      </c>
      <c r="C116">
        <f t="shared" si="1"/>
        <v>11</v>
      </c>
      <c r="D116" t="s">
        <v>16</v>
      </c>
      <c r="E116" t="s">
        <v>16</v>
      </c>
      <c r="F116" s="8">
        <v>10920000</v>
      </c>
      <c r="G116" s="8">
        <v>8680000</v>
      </c>
      <c r="H116" s="8">
        <v>2016000</v>
      </c>
      <c r="I116" s="10">
        <f>Tabela1[[#This Row],[Revenue]]-Tabela1[[#This Row],[Cost]]</f>
        <v>2240000</v>
      </c>
      <c r="J116">
        <v>18725</v>
      </c>
    </row>
    <row r="117" spans="1:10" x14ac:dyDescent="0.3">
      <c r="A117">
        <v>2025</v>
      </c>
      <c r="B117" s="1" t="s">
        <v>30</v>
      </c>
      <c r="C117">
        <f t="shared" si="1"/>
        <v>11</v>
      </c>
      <c r="D117" t="s">
        <v>18</v>
      </c>
      <c r="E117" t="s">
        <v>19</v>
      </c>
      <c r="F117" s="8">
        <v>16450000</v>
      </c>
      <c r="G117" s="8">
        <v>13475000</v>
      </c>
      <c r="H117" s="8">
        <v>2677500</v>
      </c>
      <c r="I117" s="10">
        <f>Tabela1[[#This Row],[Revenue]]-Tabela1[[#This Row],[Cost]]</f>
        <v>2975000</v>
      </c>
      <c r="J117">
        <v>25900</v>
      </c>
    </row>
    <row r="118" spans="1:10" x14ac:dyDescent="0.3">
      <c r="A118">
        <v>2025</v>
      </c>
      <c r="B118" s="1" t="s">
        <v>30</v>
      </c>
      <c r="C118">
        <f t="shared" si="1"/>
        <v>11</v>
      </c>
      <c r="D118" t="s">
        <v>18</v>
      </c>
      <c r="E118" t="s">
        <v>20</v>
      </c>
      <c r="F118" s="8">
        <v>95771175.500000015</v>
      </c>
      <c r="G118" s="8">
        <v>63869228.5</v>
      </c>
      <c r="H118" s="8">
        <v>28711752.300000001</v>
      </c>
      <c r="I118" s="9">
        <f>Tabela1[[#This Row],[Revenue]]-Tabela1[[#This Row],[Cost]]</f>
        <v>31901947.000000015</v>
      </c>
      <c r="J118">
        <v>61639</v>
      </c>
    </row>
    <row r="119" spans="1:10" x14ac:dyDescent="0.3">
      <c r="A119">
        <v>2025</v>
      </c>
      <c r="B119" s="1" t="s">
        <v>31</v>
      </c>
      <c r="C119">
        <f t="shared" si="1"/>
        <v>12</v>
      </c>
      <c r="D119" t="s">
        <v>13</v>
      </c>
      <c r="E119" t="s">
        <v>14</v>
      </c>
      <c r="F119" s="8">
        <v>1610000</v>
      </c>
      <c r="G119" s="8">
        <v>1427045.4545454546</v>
      </c>
      <c r="H119" s="8">
        <v>164659.09090909091</v>
      </c>
      <c r="I119" s="10">
        <f>Tabela1[[#This Row],[Revenue]]-Tabela1[[#This Row],[Cost]]</f>
        <v>182954.54545454541</v>
      </c>
      <c r="J119">
        <v>2310</v>
      </c>
    </row>
    <row r="120" spans="1:10" x14ac:dyDescent="0.3">
      <c r="A120">
        <v>2025</v>
      </c>
      <c r="B120" s="1" t="s">
        <v>31</v>
      </c>
      <c r="C120">
        <f t="shared" si="1"/>
        <v>12</v>
      </c>
      <c r="D120" t="s">
        <v>11</v>
      </c>
      <c r="E120" t="s">
        <v>12</v>
      </c>
      <c r="F120" s="8">
        <v>3261421.8</v>
      </c>
      <c r="G120" s="8">
        <v>2620566.3539999998</v>
      </c>
      <c r="H120" s="8">
        <v>576769.90139999997</v>
      </c>
      <c r="I120" s="9">
        <f>Tabela1[[#This Row],[Revenue]]-Tabela1[[#This Row],[Cost]]</f>
        <v>640855.446</v>
      </c>
      <c r="J120">
        <v>2503</v>
      </c>
    </row>
    <row r="121" spans="1:10" x14ac:dyDescent="0.3">
      <c r="A121">
        <v>2025</v>
      </c>
      <c r="B121" s="1" t="s">
        <v>31</v>
      </c>
      <c r="C121">
        <f t="shared" si="1"/>
        <v>12</v>
      </c>
      <c r="D121" t="s">
        <v>16</v>
      </c>
      <c r="E121" t="s">
        <v>16</v>
      </c>
      <c r="F121" s="8">
        <v>11200000</v>
      </c>
      <c r="G121" s="8">
        <v>8925000</v>
      </c>
      <c r="H121" s="12">
        <f>Tabela1[[#This Row],[Revenue]]*18%</f>
        <v>2016000</v>
      </c>
      <c r="I121" s="10">
        <f>Tabela1[[#This Row],[Revenue]]-Tabela1[[#This Row],[Cost]]</f>
        <v>2275000</v>
      </c>
      <c r="J121">
        <v>19075</v>
      </c>
    </row>
    <row r="122" spans="1:10" x14ac:dyDescent="0.3">
      <c r="A122">
        <v>2025</v>
      </c>
      <c r="B122" s="1" t="s">
        <v>31</v>
      </c>
      <c r="C122">
        <f t="shared" si="1"/>
        <v>12</v>
      </c>
      <c r="D122" t="s">
        <v>18</v>
      </c>
      <c r="E122" t="s">
        <v>19</v>
      </c>
      <c r="F122" s="8">
        <v>17850000</v>
      </c>
      <c r="G122" s="8">
        <v>14350000</v>
      </c>
      <c r="H122" s="8">
        <v>3150000</v>
      </c>
      <c r="I122" s="10">
        <f>Tabela1[[#This Row],[Revenue]]-Tabela1[[#This Row],[Cost]]</f>
        <v>3500000</v>
      </c>
      <c r="J122">
        <v>28000</v>
      </c>
    </row>
    <row r="123" spans="1:10" x14ac:dyDescent="0.3">
      <c r="A123">
        <v>2025</v>
      </c>
      <c r="B123" s="1" t="s">
        <v>31</v>
      </c>
      <c r="C123">
        <f t="shared" si="1"/>
        <v>12</v>
      </c>
      <c r="D123" t="s">
        <v>18</v>
      </c>
      <c r="E123" t="s">
        <v>20</v>
      </c>
      <c r="F123" s="8">
        <v>82616996</v>
      </c>
      <c r="G123" s="8">
        <v>59533358.5</v>
      </c>
      <c r="H123" s="8">
        <v>20775273.75</v>
      </c>
      <c r="I123" s="9">
        <f>Tabela1[[#This Row],[Revenue]]-Tabela1[[#This Row],[Cost]]</f>
        <v>23083637.5</v>
      </c>
      <c r="J123">
        <v>52437</v>
      </c>
    </row>
    <row r="124" spans="1:10" x14ac:dyDescent="0.3">
      <c r="B124"/>
      <c r="C124"/>
      <c r="F124" s="8">
        <f>SUBTOTAL(109,Tabela1[Revenue])</f>
        <v>2957887513.6999998</v>
      </c>
      <c r="G124" s="8">
        <f>SUBTOTAL(109,Tabela1[Cost])</f>
        <v>2255195084.3978181</v>
      </c>
      <c r="H124" s="8">
        <f>SUBTOTAL(109,Tabela1[Margin])</f>
        <v>635677331.0367136</v>
      </c>
      <c r="I124" s="8">
        <f>SUBTOTAL(109,Tabela1[Margin2])</f>
        <v>702692429.30218172</v>
      </c>
      <c r="J124" s="7">
        <f>SUBTOTAL(109,Tabela1[Shipments])</f>
        <v>2465553</v>
      </c>
    </row>
    <row r="125" spans="1:10" x14ac:dyDescent="0.3">
      <c r="H125" s="6">
        <f>Tabela1[[#Totals],[Margin]]/Tabela1[[#Totals],[Revenue]]</f>
        <v>0.21490923102804185</v>
      </c>
      <c r="I125" s="6">
        <f>Tabela1[[#Totals],[Margin2]]/Tabela1[[#Totals],[Revenue]]</f>
        <v>0.23756563630210159</v>
      </c>
    </row>
    <row r="126" spans="1:10" x14ac:dyDescent="0.3">
      <c r="I126" s="5">
        <f>Tabela1[[#Totals],[Margin2]]-Tabela1[[#Totals],[Margin]]</f>
        <v>67015098.265468121</v>
      </c>
    </row>
    <row r="127" spans="1:10" x14ac:dyDescent="0.3">
      <c r="F127" s="5" t="s">
        <v>32</v>
      </c>
      <c r="I127" s="13" t="s">
        <v>33</v>
      </c>
    </row>
    <row r="128" spans="1:10" x14ac:dyDescent="0.3">
      <c r="F128" s="6" t="s">
        <v>34</v>
      </c>
      <c r="G128" s="6"/>
      <c r="H128" s="14">
        <f>(SUMIFS($H$2:$H$123,$D$2:$D$123,"Ocean",$E$2:$E$123,"FCL")/(SUMIFS($F$2:$F$123,$D$2:$D$123,"Ocean",$E$2:$E$123,"FCL")))</f>
        <v>0.23059651820361374</v>
      </c>
    </row>
    <row r="129" spans="2:10" x14ac:dyDescent="0.3">
      <c r="F129" s="6" t="s">
        <v>35</v>
      </c>
      <c r="G129" s="6"/>
      <c r="H129" s="14">
        <f>(SUMIFS($H$2:$H$123,$D$2:$D$123,"ROAD",$E$2:$E$123,"International")/(SUMIFS($F$2:$F$123,$D$2:$D$123,"ROAD",$E$2:$E$123,"International")))</f>
        <v>0.18259418084162346</v>
      </c>
    </row>
    <row r="130" spans="2:10" x14ac:dyDescent="0.3">
      <c r="F130" s="6" t="s">
        <v>36</v>
      </c>
      <c r="G130" s="6"/>
      <c r="H130" s="14">
        <f>(SUMIFS($H$2:$H$123,$D$2:$D$123,"Ocean",$E$2:$E$123,"LCL")/(SUMIFS($F$2:$F$123,$D$2:$D$123,"Ocean",$E$2:$E$123,"LCL")))</f>
        <v>0.17460897181421198</v>
      </c>
    </row>
    <row r="131" spans="2:10" x14ac:dyDescent="0.3">
      <c r="F131" s="6" t="s">
        <v>37</v>
      </c>
      <c r="G131" s="6"/>
      <c r="H131" s="14">
        <f>(SUMIFS($H$2:$H$123,$D$2:$D$123,"RAIL",$E$2:$E$123,"RAIL")/(SUMIFS($F$2:$F$123,$D$2:$D$123,"RAIL",$E$2:$E$123,"RAIL")))</f>
        <v>0.17927447666103238</v>
      </c>
    </row>
    <row r="133" spans="2:10" x14ac:dyDescent="0.3">
      <c r="B133" s="5"/>
      <c r="C133" s="5"/>
    </row>
    <row r="134" spans="2:10" hidden="1" x14ac:dyDescent="0.3">
      <c r="B134" s="15" t="s">
        <v>10</v>
      </c>
      <c r="C134" s="16">
        <v>1</v>
      </c>
    </row>
    <row r="135" spans="2:10" hidden="1" x14ac:dyDescent="0.3">
      <c r="B135" s="15" t="s">
        <v>21</v>
      </c>
      <c r="C135" s="16">
        <v>2</v>
      </c>
    </row>
    <row r="136" spans="2:10" hidden="1" x14ac:dyDescent="0.3">
      <c r="B136" s="17" t="s">
        <v>22</v>
      </c>
      <c r="C136" s="16">
        <v>3</v>
      </c>
    </row>
    <row r="137" spans="2:10" hidden="1" x14ac:dyDescent="0.3">
      <c r="B137" s="17" t="s">
        <v>23</v>
      </c>
      <c r="C137" s="16">
        <v>4</v>
      </c>
      <c r="H137"/>
      <c r="I137"/>
      <c r="J137"/>
    </row>
    <row r="138" spans="2:10" hidden="1" x14ac:dyDescent="0.3">
      <c r="B138" s="15" t="s">
        <v>24</v>
      </c>
      <c r="C138" s="16">
        <v>5</v>
      </c>
      <c r="H138"/>
      <c r="I138"/>
      <c r="J138"/>
    </row>
    <row r="139" spans="2:10" hidden="1" x14ac:dyDescent="0.3">
      <c r="B139" s="17" t="s">
        <v>25</v>
      </c>
      <c r="C139" s="16">
        <v>6</v>
      </c>
      <c r="H139"/>
      <c r="I139"/>
      <c r="J139"/>
    </row>
    <row r="140" spans="2:10" hidden="1" x14ac:dyDescent="0.3">
      <c r="B140" s="15" t="s">
        <v>26</v>
      </c>
      <c r="C140" s="16">
        <v>7</v>
      </c>
      <c r="H140"/>
      <c r="I140"/>
      <c r="J140"/>
    </row>
    <row r="141" spans="2:10" hidden="1" x14ac:dyDescent="0.3">
      <c r="B141" s="17" t="s">
        <v>27</v>
      </c>
      <c r="C141" s="16">
        <v>8</v>
      </c>
      <c r="H141"/>
      <c r="I141"/>
      <c r="J141"/>
    </row>
    <row r="142" spans="2:10" hidden="1" x14ac:dyDescent="0.3">
      <c r="B142" s="15" t="s">
        <v>28</v>
      </c>
      <c r="C142" s="16">
        <v>9</v>
      </c>
      <c r="H142"/>
      <c r="I142"/>
      <c r="J142"/>
    </row>
    <row r="143" spans="2:10" hidden="1" x14ac:dyDescent="0.3">
      <c r="B143" s="15" t="s">
        <v>29</v>
      </c>
      <c r="C143" s="16">
        <v>10</v>
      </c>
      <c r="H143"/>
      <c r="I143"/>
      <c r="J143"/>
    </row>
    <row r="144" spans="2:10" hidden="1" x14ac:dyDescent="0.3">
      <c r="B144" s="15" t="s">
        <v>30</v>
      </c>
      <c r="C144" s="16">
        <v>11</v>
      </c>
      <c r="H144"/>
      <c r="I144"/>
      <c r="J144"/>
    </row>
    <row r="145" spans="2:10" hidden="1" x14ac:dyDescent="0.3">
      <c r="B145" s="17" t="s">
        <v>31</v>
      </c>
      <c r="C145" s="16">
        <v>12</v>
      </c>
      <c r="F145"/>
      <c r="G145"/>
      <c r="H145"/>
      <c r="I145"/>
      <c r="J145"/>
    </row>
    <row r="146" spans="2:10" x14ac:dyDescent="0.3">
      <c r="B146"/>
      <c r="F146"/>
      <c r="G146"/>
      <c r="H146"/>
      <c r="I146"/>
      <c r="J146"/>
    </row>
    <row r="147" spans="2:10" x14ac:dyDescent="0.3">
      <c r="B147"/>
      <c r="F147"/>
      <c r="G147"/>
      <c r="H147"/>
      <c r="I147"/>
      <c r="J147"/>
    </row>
    <row r="148" spans="2:10" x14ac:dyDescent="0.3">
      <c r="B148"/>
      <c r="F148"/>
      <c r="G148"/>
      <c r="H148"/>
      <c r="I148"/>
      <c r="J148"/>
    </row>
    <row r="149" spans="2:10" x14ac:dyDescent="0.3">
      <c r="B149"/>
      <c r="F149"/>
      <c r="G149"/>
      <c r="H149"/>
      <c r="I149"/>
      <c r="J149"/>
    </row>
    <row r="150" spans="2:10" x14ac:dyDescent="0.3">
      <c r="B150"/>
      <c r="F150"/>
      <c r="G150"/>
      <c r="H150"/>
      <c r="I150"/>
      <c r="J150"/>
    </row>
    <row r="151" spans="2:10" x14ac:dyDescent="0.3">
      <c r="B151"/>
      <c r="F151"/>
      <c r="G151"/>
      <c r="H151"/>
      <c r="I151"/>
      <c r="J151"/>
    </row>
    <row r="152" spans="2:10" x14ac:dyDescent="0.3">
      <c r="B152"/>
      <c r="F152"/>
      <c r="G152"/>
      <c r="H152"/>
      <c r="I152"/>
      <c r="J152"/>
    </row>
    <row r="153" spans="2:10" x14ac:dyDescent="0.3">
      <c r="B153"/>
      <c r="F153"/>
      <c r="G153"/>
      <c r="H153"/>
      <c r="I153"/>
      <c r="J153"/>
    </row>
    <row r="154" spans="2:10" x14ac:dyDescent="0.3">
      <c r="B154"/>
      <c r="F154"/>
      <c r="G154"/>
      <c r="H154"/>
      <c r="I154"/>
      <c r="J154"/>
    </row>
    <row r="155" spans="2:10" x14ac:dyDescent="0.3">
      <c r="B155"/>
      <c r="F155"/>
      <c r="G155"/>
      <c r="H155"/>
      <c r="I155"/>
      <c r="J155"/>
    </row>
    <row r="156" spans="2:10" x14ac:dyDescent="0.3">
      <c r="B156"/>
      <c r="F156"/>
      <c r="G156"/>
      <c r="H156"/>
      <c r="I156"/>
      <c r="J156"/>
    </row>
    <row r="157" spans="2:10" x14ac:dyDescent="0.3">
      <c r="B157"/>
      <c r="F157"/>
      <c r="G157"/>
      <c r="H157"/>
      <c r="I157"/>
      <c r="J157"/>
    </row>
    <row r="158" spans="2:10" x14ac:dyDescent="0.3">
      <c r="B158"/>
      <c r="F158"/>
      <c r="G158"/>
      <c r="H158"/>
      <c r="I158"/>
      <c r="J158"/>
    </row>
    <row r="159" spans="2:10" x14ac:dyDescent="0.3">
      <c r="B159"/>
      <c r="F159"/>
      <c r="G159"/>
      <c r="H159"/>
      <c r="I159"/>
      <c r="J159"/>
    </row>
    <row r="160" spans="2:10" x14ac:dyDescent="0.3">
      <c r="B160"/>
      <c r="F160"/>
      <c r="G160"/>
      <c r="H160"/>
      <c r="I160"/>
      <c r="J160"/>
    </row>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sheetData>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4</vt:i4>
      </vt:variant>
    </vt:vector>
  </HeadingPairs>
  <TitlesOfParts>
    <vt:vector size="4" baseType="lpstr">
      <vt:lpstr>The Task</vt:lpstr>
      <vt:lpstr>Pivot charts+ Conclusion</vt:lpstr>
      <vt:lpstr>Pivot tables+ Analysis</vt:lpstr>
      <vt:lpstr>Data+ Verification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Marta Marta</dc:creator>
  <cp:lastModifiedBy>Marta Marta</cp:lastModifiedBy>
  <dcterms:created xsi:type="dcterms:W3CDTF">2015-06-05T18:19:34Z</dcterms:created>
  <dcterms:modified xsi:type="dcterms:W3CDTF">2026-02-12T12:01:51Z</dcterms:modified>
</cp:coreProperties>
</file>